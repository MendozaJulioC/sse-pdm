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08" codeName="{6BE1CDB9-6C1C-A5B6-3FC1-E231EC3C600E}"/>
  <workbookPr codeName="ThisWorkbook"/>
  <mc:AlternateContent xmlns:mc="http://schemas.openxmlformats.org/markup-compatibility/2006">
    <mc:Choice Requires="x15">
      <x15ac:absPath xmlns:x15ac="http://schemas.microsoft.com/office/spreadsheetml/2010/11/ac" url="/Users/juliocesarmendoza/Desktop/pipApp/Backend-pi/src/public/uploads/"/>
    </mc:Choice>
  </mc:AlternateContent>
  <xr:revisionPtr revIDLastSave="0" documentId="13_ncr:1_{906881A2-3A18-8149-8EC3-4C4C5EBEC67C}" xr6:coauthVersionLast="47" xr6:coauthVersionMax="47" xr10:uidLastSave="{00000000-0000-0000-0000-000000000000}"/>
  <bookViews>
    <workbookView xWindow="51200" yWindow="5020" windowWidth="38400" windowHeight="21100" activeTab="2" xr2:uid="{00000000-000D-0000-FFFF-FFFF00000000}"/>
  </bookViews>
  <sheets>
    <sheet name="Hoja1" sheetId="1" r:id="rId1"/>
    <sheet name="Hoja2" sheetId="2" r:id="rId2"/>
    <sheet name="Hoja3" sheetId="3" r:id="rId3"/>
    <sheet name="DepMaster" sheetId="4" r:id="rId4"/>
  </sheets>
  <definedNames>
    <definedName name="_xlnm._FilterDatabase" localSheetId="2" hidden="1">Hoja3!$A$1:$H$132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3" l="1"/>
  <c r="D4" i="3"/>
  <c r="D5" i="3"/>
  <c r="C5" i="3" s="1"/>
  <c r="D6" i="3"/>
  <c r="C6" i="3" s="1"/>
  <c r="D7" i="3"/>
  <c r="C7" i="3" s="1"/>
  <c r="D8" i="3"/>
  <c r="C8" i="3" s="1"/>
  <c r="D9" i="3"/>
  <c r="D10" i="3"/>
  <c r="C10" i="3" s="1"/>
  <c r="D11" i="3"/>
  <c r="C11" i="3" s="1"/>
  <c r="D12" i="3"/>
  <c r="C12" i="3" s="1"/>
  <c r="D13" i="3"/>
  <c r="C13" i="3" s="1"/>
  <c r="D14" i="3"/>
  <c r="C14" i="3" s="1"/>
  <c r="D15" i="3"/>
  <c r="D16" i="3"/>
  <c r="C16" i="3" s="1"/>
  <c r="D17" i="3"/>
  <c r="C17" i="3" s="1"/>
  <c r="D18" i="3"/>
  <c r="C18" i="3" s="1"/>
  <c r="D19" i="3"/>
  <c r="C19" i="3" s="1"/>
  <c r="D20" i="3"/>
  <c r="C20" i="3" s="1"/>
  <c r="D21" i="3"/>
  <c r="D22" i="3"/>
  <c r="D23" i="3"/>
  <c r="C23" i="3" s="1"/>
  <c r="D24" i="3"/>
  <c r="C24" i="3" s="1"/>
  <c r="D25" i="3"/>
  <c r="C25" i="3" s="1"/>
  <c r="D26" i="3"/>
  <c r="C26" i="3" s="1"/>
  <c r="D27" i="3"/>
  <c r="D28" i="3"/>
  <c r="D29" i="3"/>
  <c r="C29" i="3" s="1"/>
  <c r="D30" i="3"/>
  <c r="C30" i="3" s="1"/>
  <c r="D31" i="3"/>
  <c r="C31" i="3" s="1"/>
  <c r="D32" i="3"/>
  <c r="C32" i="3" s="1"/>
  <c r="D33" i="3"/>
  <c r="D34" i="3"/>
  <c r="D35" i="3"/>
  <c r="C35" i="3" s="1"/>
  <c r="D36" i="3"/>
  <c r="C36" i="3" s="1"/>
  <c r="D37" i="3"/>
  <c r="C37" i="3" s="1"/>
  <c r="D38" i="3"/>
  <c r="C38" i="3" s="1"/>
  <c r="D39" i="3"/>
  <c r="D40" i="3"/>
  <c r="D41" i="3"/>
  <c r="C41" i="3" s="1"/>
  <c r="D42" i="3"/>
  <c r="C42" i="3" s="1"/>
  <c r="D43" i="3"/>
  <c r="C43" i="3" s="1"/>
  <c r="D44" i="3"/>
  <c r="C44" i="3" s="1"/>
  <c r="D45" i="3"/>
  <c r="D46" i="3"/>
  <c r="D47" i="3"/>
  <c r="C47" i="3" s="1"/>
  <c r="D48" i="3"/>
  <c r="C48" i="3" s="1"/>
  <c r="D49" i="3"/>
  <c r="C49" i="3" s="1"/>
  <c r="D50" i="3"/>
  <c r="C50" i="3" s="1"/>
  <c r="D51" i="3"/>
  <c r="D52" i="3"/>
  <c r="C52" i="3" s="1"/>
  <c r="D53" i="3"/>
  <c r="C53" i="3" s="1"/>
  <c r="D54" i="3"/>
  <c r="C54" i="3" s="1"/>
  <c r="D55" i="3"/>
  <c r="C55" i="3" s="1"/>
  <c r="D56" i="3"/>
  <c r="C56" i="3" s="1"/>
  <c r="D57" i="3"/>
  <c r="D58" i="3"/>
  <c r="D59" i="3"/>
  <c r="C59" i="3" s="1"/>
  <c r="D60" i="3"/>
  <c r="C60" i="3" s="1"/>
  <c r="D61" i="3"/>
  <c r="C61" i="3" s="1"/>
  <c r="D62" i="3"/>
  <c r="C62" i="3" s="1"/>
  <c r="D63" i="3"/>
  <c r="D64" i="3"/>
  <c r="D65" i="3"/>
  <c r="C65" i="3" s="1"/>
  <c r="D66" i="3"/>
  <c r="C66" i="3" s="1"/>
  <c r="D67" i="3"/>
  <c r="D68" i="3"/>
  <c r="C68" i="3" s="1"/>
  <c r="D69" i="3"/>
  <c r="D70" i="3"/>
  <c r="C70" i="3" s="1"/>
  <c r="D71" i="3"/>
  <c r="C71" i="3" s="1"/>
  <c r="D72" i="3"/>
  <c r="C72" i="3" s="1"/>
  <c r="D73" i="3"/>
  <c r="C73" i="3" s="1"/>
  <c r="D74" i="3"/>
  <c r="C74" i="3" s="1"/>
  <c r="D75" i="3"/>
  <c r="D76" i="3"/>
  <c r="D77" i="3"/>
  <c r="C77" i="3" s="1"/>
  <c r="D78" i="3"/>
  <c r="C78" i="3" s="1"/>
  <c r="D79" i="3"/>
  <c r="C79" i="3" s="1"/>
  <c r="D80" i="3"/>
  <c r="C80" i="3" s="1"/>
  <c r="D81" i="3"/>
  <c r="D82" i="3"/>
  <c r="D83" i="3"/>
  <c r="C83" i="3" s="1"/>
  <c r="D84" i="3"/>
  <c r="C84" i="3" s="1"/>
  <c r="D85" i="3"/>
  <c r="D86" i="3"/>
  <c r="C86" i="3" s="1"/>
  <c r="D87" i="3"/>
  <c r="D88" i="3"/>
  <c r="C88" i="3" s="1"/>
  <c r="D89" i="3"/>
  <c r="C89" i="3" s="1"/>
  <c r="D90" i="3"/>
  <c r="C90" i="3" s="1"/>
  <c r="D91" i="3"/>
  <c r="C91" i="3" s="1"/>
  <c r="D92" i="3"/>
  <c r="C92" i="3" s="1"/>
  <c r="D93" i="3"/>
  <c r="D94" i="3"/>
  <c r="D95" i="3"/>
  <c r="C95" i="3" s="1"/>
  <c r="D96" i="3"/>
  <c r="C96" i="3" s="1"/>
  <c r="D97" i="3"/>
  <c r="C97" i="3" s="1"/>
  <c r="D98" i="3"/>
  <c r="C98" i="3" s="1"/>
  <c r="D99" i="3"/>
  <c r="D100" i="3"/>
  <c r="D101" i="3"/>
  <c r="C101" i="3" s="1"/>
  <c r="C3" i="3"/>
  <c r="C4" i="3"/>
  <c r="C9" i="3"/>
  <c r="C15" i="3"/>
  <c r="C21" i="3"/>
  <c r="C22" i="3"/>
  <c r="C27" i="3"/>
  <c r="C28" i="3"/>
  <c r="C33" i="3"/>
  <c r="C34" i="3"/>
  <c r="C39" i="3"/>
  <c r="C40" i="3"/>
  <c r="C45" i="3"/>
  <c r="C46" i="3"/>
  <c r="C51" i="3"/>
  <c r="C57" i="3"/>
  <c r="C58" i="3"/>
  <c r="C63" i="3"/>
  <c r="C64" i="3"/>
  <c r="C67" i="3"/>
  <c r="C69" i="3"/>
  <c r="C75" i="3"/>
  <c r="C76" i="3"/>
  <c r="C81" i="3"/>
  <c r="C82" i="3"/>
  <c r="C85" i="3"/>
  <c r="C87" i="3"/>
  <c r="C93" i="3"/>
  <c r="C94" i="3"/>
  <c r="C99" i="3"/>
  <c r="C100"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B2" i="3"/>
  <c r="G101" i="3" l="1"/>
  <c r="H101" i="3"/>
  <c r="E101" i="3"/>
  <c r="F101"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2" i="3"/>
  <c r="A2" i="3"/>
  <c r="D2" i="3"/>
  <c r="C2" i="3" s="1"/>
</calcChain>
</file>

<file path=xl/sharedStrings.xml><?xml version="1.0" encoding="utf-8"?>
<sst xmlns="http://schemas.openxmlformats.org/spreadsheetml/2006/main" count="1200" uniqueCount="279">
  <si>
    <t>NOMBRE</t>
  </si>
  <si>
    <t>FECHA</t>
  </si>
  <si>
    <t>Dependencia/Gerencia/Depa</t>
  </si>
  <si>
    <t>Nombre_Secretario/Dir/Gere</t>
  </si>
  <si>
    <t>Cargo_específico</t>
  </si>
  <si>
    <t>a)_Comuna_1:</t>
  </si>
  <si>
    <t>b)_Logro_1:</t>
  </si>
  <si>
    <t>c)_Cifras_1</t>
  </si>
  <si>
    <t>a)_Comuna_2:</t>
  </si>
  <si>
    <t>b)_Logro_2:</t>
  </si>
  <si>
    <t>c)_Cifras_2</t>
  </si>
  <si>
    <t>a)_Comuna_3:</t>
  </si>
  <si>
    <t>b)_Logro_3:</t>
  </si>
  <si>
    <t>c)_Cifras_3</t>
  </si>
  <si>
    <t>a)_Comuna_4:</t>
  </si>
  <si>
    <t>b)_Logro_4:</t>
  </si>
  <si>
    <t>c)_Cifras_4</t>
  </si>
  <si>
    <t>a)_Comuna_5:</t>
  </si>
  <si>
    <t>b)_Logro_5:</t>
  </si>
  <si>
    <t>c)_Cifras_5</t>
  </si>
  <si>
    <t>a)_Comuna_6:</t>
  </si>
  <si>
    <t>b)_Logro_6:</t>
  </si>
  <si>
    <t>c)_Cifras_6</t>
  </si>
  <si>
    <t>a)_Comuna_7:</t>
  </si>
  <si>
    <t>b)_Logro_7:</t>
  </si>
  <si>
    <t>c)_Cifras_7</t>
  </si>
  <si>
    <t>a)_Comuna_8:</t>
  </si>
  <si>
    <t>b)_Logro_8:</t>
  </si>
  <si>
    <t>c)_Cifras_8</t>
  </si>
  <si>
    <t>a)_Comuna_9:</t>
  </si>
  <si>
    <t>b)_Logro_9:</t>
  </si>
  <si>
    <t>c)_Cifras_9</t>
  </si>
  <si>
    <t>a)_Comuna_10:</t>
  </si>
  <si>
    <t>b)_Logro_10:</t>
  </si>
  <si>
    <t>c)_Cifras_10</t>
  </si>
  <si>
    <t>a)_Comuna_11:</t>
  </si>
  <si>
    <t>b)_Logro_11:</t>
  </si>
  <si>
    <t>c)_Cifras_11</t>
  </si>
  <si>
    <t>a)_Comuna_12:</t>
  </si>
  <si>
    <t>b)_Logro_12:</t>
  </si>
  <si>
    <t>c)_Cifras_12</t>
  </si>
  <si>
    <t>a)_Comuna_13:</t>
  </si>
  <si>
    <t>b)_Logro_13:</t>
  </si>
  <si>
    <t>c)_Cifras_13</t>
  </si>
  <si>
    <t>a)_Comuna_14:</t>
  </si>
  <si>
    <t>b)_Logro_14:</t>
  </si>
  <si>
    <t>c)_Cifras_14</t>
  </si>
  <si>
    <t>a)_Comuna_15:</t>
  </si>
  <si>
    <t>b)_Logro_15:</t>
  </si>
  <si>
    <t>c)_Cifras_15</t>
  </si>
  <si>
    <t>a)_Comuna_16:</t>
  </si>
  <si>
    <t>b)_Logro_16:</t>
  </si>
  <si>
    <t>c)_Cifras_16</t>
  </si>
  <si>
    <t>a)_Comuna_17:</t>
  </si>
  <si>
    <t>b)_Logro_17:</t>
  </si>
  <si>
    <t>c)_Cifras_17</t>
  </si>
  <si>
    <t>a)_Comuna_18:</t>
  </si>
  <si>
    <t>b)_Logro_18:</t>
  </si>
  <si>
    <t>c)_Cifras_18</t>
  </si>
  <si>
    <t>a)_Comuna_19:</t>
  </si>
  <si>
    <t>b)_Logro_19:</t>
  </si>
  <si>
    <t>c)_Cifras_19</t>
  </si>
  <si>
    <t>a)_Comuna_20:</t>
  </si>
  <si>
    <t>b)_Logro_20:</t>
  </si>
  <si>
    <t>c)_Cifras_20</t>
  </si>
  <si>
    <t>a)_Comuna_21:</t>
  </si>
  <si>
    <t>b)_Logro_21:</t>
  </si>
  <si>
    <t>c)_Cifras_21</t>
  </si>
  <si>
    <t>Gerencia de Diversidades Sexuales e Identidades de Género</t>
  </si>
  <si>
    <t>10-LA CANDELARIA</t>
  </si>
  <si>
    <t>06-DOCE DE OCTUBRE</t>
  </si>
  <si>
    <t>90-SANTA ELENA</t>
  </si>
  <si>
    <t>14-EL POBLADO</t>
  </si>
  <si>
    <t>Departamento Administrativo de Planeación</t>
  </si>
  <si>
    <t>01-POPULAR</t>
  </si>
  <si>
    <t>N/A</t>
  </si>
  <si>
    <t>Secretaría de las Mujeres</t>
  </si>
  <si>
    <t>07-ROBLEDO</t>
  </si>
  <si>
    <t>Secretaría de Desarrollo Económico</t>
  </si>
  <si>
    <t>13-SAN JAVIER</t>
  </si>
  <si>
    <t>Sin cifras</t>
  </si>
  <si>
    <t>04-ARANJUEZ</t>
  </si>
  <si>
    <t>11-LAURELES</t>
  </si>
  <si>
    <t>08-VILLA HERMOSA</t>
  </si>
  <si>
    <t>sin cifras</t>
  </si>
  <si>
    <t>05-CASTILLA</t>
  </si>
  <si>
    <t>Secretaría de Gestión y Control Territorial</t>
  </si>
  <si>
    <t>60-SAN CRISTOBAL</t>
  </si>
  <si>
    <t>Secretaría de Medio Ambiente</t>
  </si>
  <si>
    <t>03-MANRIQUE</t>
  </si>
  <si>
    <t>16-BELEN</t>
  </si>
  <si>
    <t>70-ALTAVISTA</t>
  </si>
  <si>
    <t>50-PALMITAS</t>
  </si>
  <si>
    <t>Secretaría General</t>
  </si>
  <si>
    <t>Secretaría de Evaluación y Control</t>
  </si>
  <si>
    <t>-</t>
  </si>
  <si>
    <t>Secretaría de Seguridad y Convivencia</t>
  </si>
  <si>
    <t>02-SANTA CRUZ</t>
  </si>
  <si>
    <t>12-LA AMERICA</t>
  </si>
  <si>
    <t>15-GUAYABAL</t>
  </si>
  <si>
    <t>80-SAN ANTONIO DE PRADO</t>
  </si>
  <si>
    <t>Secretaría de la Juventud</t>
  </si>
  <si>
    <t>Gerencia del Centro</t>
  </si>
  <si>
    <t>Gerencia de Etnias</t>
  </si>
  <si>
    <t>Secretaría de Educación</t>
  </si>
  <si>
    <t>Secretaría de Gestión Humana y Servicio a la Ciudadanía</t>
  </si>
  <si>
    <t>Buen Comienzo</t>
  </si>
  <si>
    <t>Secretaria de Innovación Digital</t>
  </si>
  <si>
    <t>Secretaría de Inclusión, Familia y Derechos Humanos</t>
  </si>
  <si>
    <t>Gerencia de Corregimientos</t>
  </si>
  <si>
    <t>Secretaría de Cultura Ciudadanía</t>
  </si>
  <si>
    <t>Secretaría de Infraestructura Física</t>
  </si>
  <si>
    <t>Secretaría de Movilidad</t>
  </si>
  <si>
    <t>.</t>
  </si>
  <si>
    <t>Secretaría de Salud</t>
  </si>
  <si>
    <t>Departamento Administrativo de Gestión del Riesgo de Desastres</t>
  </si>
  <si>
    <t>Sin dato</t>
  </si>
  <si>
    <t>Secretaría de Participación Ciudadana</t>
  </si>
  <si>
    <t>Secretaría de Servicios y Suministros</t>
  </si>
  <si>
    <t>Comuna</t>
  </si>
  <si>
    <t>Nombre</t>
  </si>
  <si>
    <t>Fecha</t>
  </si>
  <si>
    <t>Dependencia</t>
  </si>
  <si>
    <t>Logro</t>
  </si>
  <si>
    <t>Cifras</t>
  </si>
  <si>
    <t>Ordenador</t>
  </si>
  <si>
    <t>Cargo</t>
  </si>
  <si>
    <t>Cod_dep</t>
  </si>
  <si>
    <t>cod_comuna</t>
  </si>
  <si>
    <t xml:space="preserve">Actividades Medellín me cuida
Dimensión Vida Saludable:  23
Dimensión Sexualidad, derechos sexuales y derechos reproductivos: 0
Dimensión Seguridad Alimentaria y Nutricional: 23
</t>
  </si>
  <si>
    <t>Servicios de conectividad a Internet mediante Prueba Piloto del servicio White Space</t>
  </si>
  <si>
    <t>4 hogares (16 personas)</t>
  </si>
  <si>
    <t xml:space="preserve">Proceso de Remoción: Permite la recuperación de espacio público para la ciudadanía, ejerciendo el control territorial. </t>
  </si>
  <si>
    <t>no aplica</t>
  </si>
  <si>
    <t>Transformación Integral del lugar Intervenido -  Intervención Integral Punto Crítico - Feria Ambiental</t>
  </si>
  <si>
    <t>Retiro de publicidad: 15 postes, 
Recolección de RCD: 16,5 m3  
Voluminosos : 10 m3
Recuperación de zonas verde: 75 m2
Limpieza de zonas verdes: 70 m2
Lavado de zonas duras: 820 m2
Pintura de juegos infantiles: 4 módulos
Pintura de pasamanos:  12 m lineales
Siembra de jardín: 200 plantas 
Limpieza de cauce de quebrada: 45 m lineales
Rocería: 550 m2 
Pintura de papeleras: 2 unidades
Pintura de postes: 10 postes
captación de residuos pos consumo en marco de feria ambiental.</t>
  </si>
  <si>
    <t>Transformación Integral del lugar Intervenido - Intervención Puntual  Brigadas Centro -Sector Perpetuo Socorro</t>
  </si>
  <si>
    <t>Limpieza de sumideros : 55 Unidades 
Retiro de publicidad: 17 postes 
Pintura de bailarinas: 5 bailarinas
Pintura de armarios: 2 armarios
Pintura de bolardos: 6 unidades
Retiro de grafiti de mobiliario: 3 módulos 
Limpieza de grafitis: 80 m2
Lavado de zonas duras: 2000 m2
Recolección de residuos sólidos: 1 m3</t>
  </si>
  <si>
    <t xml:space="preserve"> Transformación Integral del lugar Intervenido - Sector  Parque Skate- Intervención Integral Punto Crítico </t>
  </si>
  <si>
    <t>Pintura de bancas: 5 Unidades 
Retiro de grafiti de mobiliario: 3 Unidades
Pintura muros vandalizados: 80 m2 
Rocería: 120 m2
Pintura de pasamanos: 150 m2</t>
  </si>
  <si>
    <t>Se adecuó estructura hidráulica quebrada La Minita, por hundimiento de vía principal del Barrio Castilla.</t>
  </si>
  <si>
    <t>En el marco de la feria de las Flores, se realizó la sensibilización  en temas de cultura ambiental a 20.000 personas  visitantes de Cerro Nutibara.</t>
  </si>
  <si>
    <t>20.000 personas</t>
  </si>
  <si>
    <t>Con cuadrilla de obreros de cobertura se realizó la actividad de adecuación del paso vial y cauce de la quebrada La Volcana, vía Las Palmas que presentaba problemas de insuficiencia hidráulica por acumulación de sedimentos durante el evento del 06 de mayo y que no fue atendida en su totalidad por la firma concesionaria.</t>
  </si>
  <si>
    <t>Actividad: Visita puerta a puerta en el barrio la encocada, sensibilización frente al cuidado responsable de animales de compañía.</t>
  </si>
  <si>
    <t>26 Hogares atendidos</t>
  </si>
  <si>
    <t xml:space="preserve">Actividad: Personas sensibilizadas en manejo responsable de animales de compañía. </t>
  </si>
  <si>
    <t>Personas sensibilizadas: 21</t>
  </si>
  <si>
    <t>Actividad: Encuentro de organizaciones de la comuna 11 con la Subsecretaría de Protección y Bienestar Animal.  Se realizó reunión con una organización de protección animal y dos animalistas independientes de la comuna 11.</t>
  </si>
  <si>
    <t>Personas: 6</t>
  </si>
  <si>
    <t>Actividad: Visita semanal plaza la minorista. En articulación con el Centro de Estudios, se visitó 14 locales donde se comercializa animales, se aplicó cuestionario como insumo para elaboración de informe jurídico.</t>
  </si>
  <si>
    <t>Personas atendidas: 14 personas propietarios</t>
  </si>
  <si>
    <t>Actividad: Personas sensibilizadas en manejo responsable de animales compañía.</t>
  </si>
  <si>
    <t>Actividad: Se realizan esterilizaciones externas, entre perros y gatos</t>
  </si>
  <si>
    <t>Animales atendidos: 10</t>
  </si>
  <si>
    <t>Actividad: Implantación de micro chip a perros y gatos</t>
  </si>
  <si>
    <t>Animales atendidos: 89</t>
  </si>
  <si>
    <t xml:space="preserve">Atención de la población por parte del SISBEN en el sector de altos de la Mora del corregimiento Santa Elena. </t>
  </si>
  <si>
    <t>20 familias que estaban a la espera de la encuesta del SISBEN.</t>
  </si>
  <si>
    <t xml:space="preserve">Mantenimiento por parte del concesionario de los árboles que se encuentran en los bordes de la carretera Santa Elena con amaneza de caída, como medida de prevención de un incidente en esta vía por esta causa. </t>
  </si>
  <si>
    <t xml:space="preserve">Apertura del Centro Educativo La Aldea corregimiento de San Sebastián de Palmitas. </t>
  </si>
  <si>
    <t xml:space="preserve">Beneficiara a mas de 200 estudiantes. </t>
  </si>
  <si>
    <t xml:space="preserve">Se logro vincular los productores de los 5 corregimientos (Apicultores y Floricultores) con la comuna 10 de Medellín. Generando ventas de los productos y pedagogía frente a los corregimientos de Medellín. </t>
  </si>
  <si>
    <t xml:space="preserve">Ventas netas para los productores corregimentales por aproximadamente 5.000.0000. 
Mas 10 relaciones comerciales que pueden derivar en procesos de distribución y comercialización.
</t>
  </si>
  <si>
    <t>Articular el proceso de autonomía financiera con los colectivos de mujeres y líderes del corregimiento de San Antonio Prado para la conformación del grupo beneficiario del programa.</t>
  </si>
  <si>
    <t>Conformación del grupo de 25 mujeres a beneficiarse del proceso de autonomía financiera de secretaria de Mujeres.</t>
  </si>
  <si>
    <t>Se programa acompañamiento por parte de la Oficina Pública de Empleo – OPE, a la Feria de servicios de la EDU en el morro de Moravia para el día 26 de agosto.</t>
  </si>
  <si>
    <t xml:space="preserve">Se realizó el tercer recorrido de validación de las iniciativas del Diplomado en Liderazgo y Gestión del Turismo Comunitario de la ciudad de Medellín, este fue realizado en el Cerro el Volador perteneciente a la Comuna 7 (Robledo), </t>
  </si>
  <si>
    <t>En el recorrido participaron 4 estudiantes pertenecientes a este territorio.</t>
  </si>
  <si>
    <t>Recorrido de validación de la experiencia inmersiva de la Subsecretaría de Turismo, por medio de una aplicación para  brindar acompañamiento al turista en el Corregimiento de San Antonio de Prado.</t>
  </si>
  <si>
    <t xml:space="preserve"> Entendiendo que las actividades realizadas en el territorio generan confianza ciudadana y fortalece los vínculos entre la ciudadanía y la institucionalidad.
Se realizó una socialización  del 20 agosto en Finca la mesa Centro Integral de Familia santa cruz sobre la Microferia de Empleo a llevarse a cabo en la comuna 2. </t>
  </si>
  <si>
    <t xml:space="preserve">Se contó con la participaron de 50 ciudadanos de Santacruz.
</t>
  </si>
  <si>
    <t xml:space="preserve">Durante la Feria de Las Flores, se apoyaron mas de 90 emprendedores de las 16 comunas y un empresario del corregimiento de San Antonio de Prado en los eventos de la Subsecretaría de Creación y Fortalecimiento Empresarial que se tienen en el territorio, con un impacto positivo en sus indicadores de ventas y reconocimiento de sus marcas. </t>
  </si>
  <si>
    <t>Se tuvieron ventas en los eventos de la Feria de las Flores, por un valor superior a los 100 millones de pesos.</t>
  </si>
  <si>
    <t>Se continúa con la logística y planeación de la  segunda micro feria de empleo, en  Uva SOL DE Oriente (Villa Hermosa),que se llevara acabo el 27 de agosto. Se estarán ofertando los servicios del programa (registro y actualización de hoja de vida, postulación a vacantes, en lo posible registro de empresas, y entrevistas iniciales con los empresarios).</t>
  </si>
  <si>
    <t>-	El viernes 20 de agosto, de 8:30 a.m., a 3:00 p.m., en la Institución Educativa Fe y Alegría No. 2, se realizó una jornada de atención y orientación por parte de la Personería de Medellín, la Secretaría de Educación, PRECI, la Gerencia de Etnias, Migración Colombia, entre otros; con el fin de descentralizar los servicios de la Casa de Justicia de Santo Domingo y otros servicios para satisfacer las necesidades de la comunidad en el sector, especialmente en la atención a la población migrante.</t>
  </si>
  <si>
    <t xml:space="preserve">-	El viernes 20 de agosto, de 8:30 a.m., a 3:00 p.m., en la Institución Educativa Fe y Alegría No. 2, se realizó una jornada de atención y orientación por parte de la Personería de Medellín, la Secretaría de Educación, PRECI, la Gerencia de Etnias, Migración Colombia, entre otros; con el fin de descentralizar los servicios de la Casa de Justicia de Santo Domingo y otros servicios para satisfacer las necesidades de la comunidad en el sector, especialmente en la atención a la población migrante, atendiéndose a 480 personas. </t>
  </si>
  <si>
    <t xml:space="preserve">-	El 20 de agosto en el barrio La Rosa sector La Encocada, se llevó a cabo la socialización de Código Nacional de Seguridad y Convivencia enfocada en la tenencia responsable de animales de compañía, está actividad estuvo articulada con la Subsecretaría de Protección Animal. </t>
  </si>
  <si>
    <t>-	El 20 de agosto en el barrio La Rosa sector La Encocada, se llevó a cabo la socialización de Código Nacional de Seguridad y Convivencia enfocada en la tenencia responsable de animales de compañía, está actividad estuvo articulada con la Subsecretaría de Protección Animal. Se impactaron 100 personas.</t>
  </si>
  <si>
    <t xml:space="preserve">-	Se realizó campaña pedagógica para prevenir el hurto a motociclistas en el sector de palos verdes.
-	El 18 de agosto en el barrio San José de la Cima 1, se realizó socialización de Código Nacional de Seguridad y Convivencia buscando mitigar comportamientos contrarios a la misma.
</t>
  </si>
  <si>
    <t>-	El 18 de agosto en el barrio San José de la Cima 1, se realizó socialización de Código Nacional de Seguridad y Convivencia buscando mitigar comportamientos contrarios a la misma. Participaron 12 personas.</t>
  </si>
  <si>
    <t xml:space="preserve">-	Se continúan con las actividades educativas de prevención de hurto a personas y a establecimientos en la comuna.
-	Se realizaron 4 jornadas diarias de Promoción de Rutas de Atención y Mecanismos de Defensa de los DDHH y la Convivencia, durante la semana del 16 al 22 de agosto, de 9:00 a.m., a 3:00 p.m., en mesas de atención ubicadas al lado de la puerta de acceso principal de la Casa de Justicia El Bosque.
-	El 21 de agosto en el barrio Brasilia se realizó el taller de promoción de la convivencia con niños y niñas del sector, fortaleciendo el respeto por la diferencia como base fundamental de la misma, buscando generar compromiso ciudadano para reducir y mitigar comportamientos contrarios a la convivencia. 
</t>
  </si>
  <si>
    <t xml:space="preserve">-	Se realizaron 4 jornadas diarias de Promoción de Rutas de Atención y Mecanismos de Defensa de los DDHH y la Convivencia, durante la semana del 16 al 22 de agosto, de 9:00 a.m., a 3:00 p.m., en mesas de atención ubicadas al lado de la puerta de acceso principal de la Casa de Justicia El Bosque, beneficiándose 221 personas. 
-	El 21 de agosto en el barrio Brasilia se realizó el taller de promoción de la convivencia con niños y niñas del sector, fortaleciendo el respeto por la diferencia como base fundamental de la misma, buscando generar compromiso ciudadano para reducir y mitigar comportamientos contrarios a la convivencia. Personas impactadas: 50 </t>
  </si>
  <si>
    <t xml:space="preserve">- Se realizó el desmonte del kiosko  utilizado para venta de estupefacientes en el barrio Toscana, con esta intervención se elimina renta criminal de aproximadamente 18 millones de pesos, valor por el cual la estructura delincuencial trataba de vender este punto (espacio público) con la construcción ilegal. En este operativo intervienen PONAL, espacio público y Emvarias. La Subsecretaría de Gobierno Local y Convivencia en adelante se encargará de la articulación con Área Metropolitana del Valle de Aburrá y Secretaría de Medio Ambiente para la siembra de árboles en el espacio y con ello evitar que se convierta en punto crítico. 
-	Intervención en espacio público utilizado para renta criminal de estructura delincuencial en el barrio Girardot, en este operativo interviene: PONAL y las Secretarías de Movilidad y Gobierno. La intervención posibilitó que movilidad realizara el retiro de 6 camiones y un automóvil.  Los particulares recogieron 3 camiones y un bus. Los escombros dispuestos por incipiente depósito fueron recogidos por el dueño. Adicional se tiene información que este parqueadero ilegal generaba una renta mensual de aproximadamente 10 millones de pesos, renta que se elimina con el operativo realizado. Se proyecta para este punto intervención por parte del CAI La María, quienes reforzará ronda de Policía y la Subsecretaría de Gobierno Local y Convivencia inicia intervención pedagógica con vecinos para mitigar próximos parqueos y articulación Área Metropolitana del Valle de Aburrá y Secretaría de Medio Ambiente para siembra de árboles en el espacio y con ello evitar que se convierta en punto crítico. 
-	Se lleva a cabo Comité Operativo de comuna con participación de comandante de distrito, comandante y subcomandante de estación donde se logran focalizar puntos críticos y programar operativos de estupefacientes y renta criminal y campañas de prevención de hurtos para el barrio Tejelo y Tricentenario. 
-	Se lleva a cabo operativo de seguimiento en sector de Gratamira, desde donde se verifica el cumplimiento de requisitos establecidos para comerciantes en intervención realizada el 30 de julio. 
-	El 18 de agosto en el barrio Girardot, se realizó socialización de Código Nacional de Seguridad y Convivencia, enfocado en el uso indebido del espacio público, con el propósito de hacer un llamado a la comunidad al respeto por el mismo, dejando claro las consecuencias pedagógicas y económicas que conlleva el incumplimiento de la norma.
</t>
  </si>
  <si>
    <t>-	El 18 de agosto en el barrio Girardot, se realizó socialización de Código Nacional de Seguridad y Convivencia, enfocado en el uso indebido del espacio público, con el propósito de hacer un llamado a la comunidad al respeto por el mismo, dejando claro las consecuencias pedagógicas y económicas que conlleva el incumplimiento de la norma. Se impactaron 50 ciudadanos.</t>
  </si>
  <si>
    <t xml:space="preserve">-	Se realizó operativo de seguridad articulado con Policía PRECI, y Secretaría de Movilidad, en el operativo se logra inmovilizar 10 motocicletas, varias armas blancas y se realizan 2 comparendos.
-	Se logra solucionar queja ciudadana por ruido generado dos días continuos, la Policía realizó presencia hasta establecer un acuerdo con las personas.
-	Se confirma el grupo de comerciantes y se articula con la Policía PRECI para realizar actividades de prevención en hurto, extorsión, reportes de condiciones o sospecha y atención de gobierno local
-	Intervención Comercio – Chatarrearía 
-	El 19 de agosto en el Doce de octubre en el desarrollo de la Feria de Servicios, se realizó estrategia "Dale Sentido a la Vida: Vive y Convive" donde se deja un mensaje a la comunidad de la importancia de controlar las emociones para el fortalecimiento de la convivencia en el territorio, identificando los diferentes comportamientos y actitudes en el relacionamiento con el entorno. 
</t>
  </si>
  <si>
    <t>-	El 19 de agosto en el Doce de octubre en el desarrollo de la Feria de Servicios, se realizó estrategia "Dale Sentido a la Vida: Vive y Convive" donde se deja un mensaje a la comunidad de la importancia de controlar las emociones para el fortalecimiento de la convivencia en el territorio, identificando los diferentes comportamientos y actitudes en el relacionamiento con el entorno. Se impactaron  100 personas.</t>
  </si>
  <si>
    <t xml:space="preserve">-	Se hará una jornada de sensibilización del uso inadecuado del espacio público donde hay carpas y puestos muy extendidos en el sector de Robledo La Campiña.
-	El 15 de agosto se desarrolló la socialización del Código Nacional de Seguridad y Convivencia en el sector de Villas de Santa Catalina usando para ello el Concéntrese de la Unidad de Convivencia. En articulación con la Policía de Prevención y Educación Ciudadana con su estrategia Policía de Vecindario y con la mesa de trabajo del sector para promocionar la sana convivencia ciudadana, haciendo énfasis en la importancia del respeto para la construcción colectiva de cultura ciudadana. 
</t>
  </si>
  <si>
    <t>-	El 15 de agosto se desarrolló la socialización del Código Nacional de Seguridad y Convivencia en el sector de Villas de Santa Catalina usando para ello el Concéntrese de la Unidad de Convivencia. En articulación con la Policía de Prevención y Educación Ciudadana con su estrategia Policía de Vecindario y con la mesa de trabajo del sector para promocionar la sana convivencia ciudadana, haciendo énfasis en la importancia del respeto para la construcción colectiva de cultura ciudadana. Con la participación de 33 ciudadanos.</t>
  </si>
  <si>
    <t>-	El 19 de agosto en el sector Manzanares del barrio El Pinal en articulación interinstitucional, se logra la intervención de punto crítico de mala disposición de residuo, escombros y otros desechos. Durante la jornada se realizó descentralización, ornato y aseo, recolección de residuos posconsumo y sensibilización respecto a los comportamientos contrarios a la convivencia que establece el artículo 111 de la ley 1801 de 2016. Participaron de la jornada: la Unidad de Convivencia Ciudadana, la Secretaría de Medio Ambiente, Salud, Gobierno, Policía Ambiental, Emvarias. .</t>
  </si>
  <si>
    <t>-	El 19 de agosto en el sector Manzanares del barrio El Pinal en articulación interinstitucional, se realizó la intervención de punto crítico de mala disposición de residuo, escombros y otros desechos. Durante la jornada se realizó descentralización, ornato y aseo, recolección de residuos posconsumo y sensibilización respecto a los comportamientos contrarios a la convivencia que establece el artículo 111 de la ley 1801 de 2016. Participaron de la jornada: la Unidad de Convivencia Ciudadana, la Secretaría de Medio Ambiente, Salud, Gobierno, Policía Ambiental, Emvarias. Se visitaron 120 viviendas e impactaron 360 personas.</t>
  </si>
  <si>
    <t xml:space="preserve">-	Se realizó mantenimiento de módulos vandalizados durante las protestas ubicados en la Av. Oriental y Plaza Minorista. 
-	El 18 de agosto en el barrio San Benito, se presentó la oferta de la Unidad de Convivencia al Consejo Administrativo de la Plaza Minorista. 
-	El 20 de agosto en el barrio San Benito se realizaron encuentros comunitarios, se socializaron los diferentes hechos contrario a la convivencia en el marco de la Ley 1801 de 2016 que se presentan en el sector, se proyecta las diferentes acciones que se han realizado en dicha zona, se realiza campaña con Emvarias en temas de residuos, uso indebido del Espacio Público, y prácticas para ser buen vecino. Se genera el compromiso de seguir realizando sensibilización en los establecimientos de comercios que están generando mala destinación de residuos. Acompañan en las acciones realizadas: el Comandante de la Minorista, la Secretaría de Movilidad, la Inspección de Policía 10C, Preci con 3 unidades, la JAC y los delegados de la Universidad. 
</t>
  </si>
  <si>
    <t>-	El 18 de agosto en el barrio San Benito, se presentó la oferta de la Unidad de Convivencia al Consejo Administrativo de la Plaza Minorista. Participaron de esta reunión 32 personas.
-	El 20 de agosto en el barrio San Benito se realizaron encuentros comunitarios, se socializaron los diferentes hechos contrario a la convivencia en el marco de la Ley 1801 de 2016 que se presentan en el sector, se proyecta las diferentes acciones que se han realizado en dicha zona, se realiza campaña con Emvarias en temas de residuos, uso indebido del Espacio Público, y prácticas para ser buen vecino. Se genera el compromiso de seguir realizando sensibilización en los establecimientos de comercios que están generando mala destinación de residuos. Acompañan en las acciones realizadas: el Comandante de la Minorista, la Secretaría de Movilidad, la Inspección de Policía 10C, Preci con 3 unidades, la JAC y los delegados de la Universidad. Se impactaron 25 personas.</t>
  </si>
  <si>
    <t xml:space="preserve">-	El grupo de aseo y ornato realizó actividades de limpieza y pintura donde se borraron pintas y/o grafitis en diferentes puntos estratégicos que se produjeron durante las protestas de meses anteriores. 
-	Se realizó plan de prevención contra el hurto en los sectores priorizados de la comuna, en el cual se efectuó de manera móvil junto a Policía Nacional, Movilidad y Espacio Público. 
-	Plan de Control de Habitantes de Calle en articulación con la Secretaría de Inclusión Social, Familia y DDHH y Policía Nacional. 
-	Sensibilización con Secretaría de Inclusión Social, Familia y DDHH y Policía Nacional frente a las líneas de atención ante procesos de inseguridad en el sector de la 80 desde Colombia hasta estación Floresta. 
-	Intervención en el sector del Velódromo por problemáticas de seguridad y convivencia, en el cual participó Personería y la Gerencia de Diversidad
-	Intervención integral en la carrera 70 para lograr mitigar problemáticas de seguridad del sector, en articulación con Policía Nacional y la Secretaría de Movilidad
</t>
  </si>
  <si>
    <t xml:space="preserve">-	El 18 de agosto en articulación con la Secretaría de Inclusión Social, Familia y DDHH y la Secretaría de Cultura, se realizó la estrategia “Dale sentido a la vida, vive y convive”, sobre la base del manejo de emociones. La actividad fue dirigida a habitante de calle, los cuales participaron activamente y dieron a conocer el valor que querían sembrar en su vida. </t>
  </si>
  <si>
    <t>-	El 18 de agosto en articulación con la Secretaría de Inclusión Social, Familia y DDHH y la Secretaría de Cultura, se realizó la estrategia “Dale sentido a la vida, vive y convive”, sobre la base del manejo de emociones. La actividad fue dirigida a habitante de calle, los cuales participaron activamente y dieron a conocer el valor que querían sembrar en su vida. Se impactaron 30 personas.</t>
  </si>
  <si>
    <t xml:space="preserve">-	Se realizará un recorrido por los alrededores de Monterrey Carrera 48 en el Poblado para el control de ventas y una posible reubicación de los venteros por inconvenientes con el Centro Comercial.
-	Se realizó el plan Lleras donde se priorizaron las problemáticas más relevantes, actividad de explotación sexual y laboral de NNJA, la mendicidad de menores de edad y venteros ambulantes.
-	El 18 de agosto en el barrio Provenza en el marco del mes del adulto mayor, se realizó encuentro con un grupo de hombres y mujeres de la comuna, bajo la estrategia "Dale sentido a la vida, vive y convive". Una oportunidad para reconocer en los asistentes aquellas acciones que dan significado a la vida y a la convivencia. 
-	El 19 de agosto, el equipo de Convive la Noche realizó visitas a los establecimientos que están solicitando extensión de horario con la finalidad de verificar la actividad que están realizando en el momento. Se verifica si cumplen con el espacio para venta y consumo de licor y la documentación contemplada en la Ley 1801 del 2016, se hace mediciones de ruido dejando las recomendaciones de los decibeles permitidos. Se  continúa con la estrategia "Parche seguro" y con la entrega de las piezas pedagógicas referentes al autocuidado y se sensibiliza a los comerciantes sobre la importancia de seguir con el cumplimiento estricto de las normas de bioseguridad. Se hicieron 4 visitas y 4 mediciones. 
</t>
  </si>
  <si>
    <t xml:space="preserve">-	El 18 de agosto en el barrio Provenza en el marco del mes del adulto mayor, se realizó encuentro con un grupo de hombres y mujeres de la comuna, bajo la estrategia "Dale sentido a la vida, vive y convive". Una oportunidad para reconocer en los asistentes aquellas acciones que dan significado a la vida y a la convivencia. Participaron 60 personas. </t>
  </si>
  <si>
    <t xml:space="preserve">-	Se avanzó en reunión con comerciantes ubicados sobre la Carrera 80 (desde Robledo hasta Guayabal), en articulación con promotores de Gobierno y Gestores de Seguridad de las Comunas 11, 12 y 16, para realizar Consejo de Convivencia de los cuales saldrán acciones y compromisos concretos en materia de Seguridad, el hurto y las extorsiones que son los principales problemas.  
-	En alianza con PRECI, se realizó Campaña de prevención  de hurto (en todas sus modalidades) alrededor del parque de Belén. 
-	Trabajo articulado con PRECI en el sector de Morro Corazón donde se realizará una campaña de prevención del hurto, adicional tendremos unas actividades con los niños del sector llamada, Carrusel por mis derechos, por medio de la cual se pretende prevenir el uso e instrumentalización de menores.
-	El 17 de agosto se realiza jornada y campaña de sensibilización, en articulación con la secretaria de Gestión y Control Territorial con el fin mitigar el impacto de la estafa inmobiliaria y especialmente las infracciones urbanísticas como acción contraria a la convivencia, problemática que en la actualidad afecta el sector. 
-	Se realiza recorrido con la campaña "Pilas, compra legal" de la Secretaria de Gestión y Control Territorial en el Barrio El Rincón, donde se sensibiliza sobre las acciones para la adquisición de inmuebles y la legalidad de las construcciones y reformas a través de la licencia de construcción. La actividad se desarrolla dentro del barrio en la vía pública, puerta a puerta y establecimientos de comercio, realizando difusión y entrega de material informativo en la temática descrita. 
-	El 19 de agosto, el equipo de Convive la Noche realizó visitas a los establecimientos que están solicitando extensión de horario con la finalidad de verificar la actividad que están realizando en el momento. Se verifica si cumplen con el espacio para venta y consumo de licor y la documentación contemplada en la Ley 1801 del 2016, se hace mediciones de ruido dejando las recomendaciones de los decibeles permitidos. Se  continúa con la estrategia "Parche seguro" y con la entrega de las piezas pedagógicas referentes al autocuidado y se sensibiliza a los comerciantes sobre la importancia de seguir con el cumplimiento estricto de las normas de bioseguridad. 
</t>
  </si>
  <si>
    <t xml:space="preserve">-	Se realiza recorrido con la campaña "Pilas, compra legal" de la Secretaria de Gestión y Control Territorial en el Barrio El Rincón, donde se sensibiliza sobre las acciones para la adquisición de inmuebles y la legalidad de las construcciones y reformas a través de la licencia de construcción. La actividad se desarrolla dentro del barrio en la vía pública, puerta a puerta y establecimientos de comercio, realizando difusión y entrega de material informativo en la temática descrita. Se impactaron 120 personas.
-	El 19 de agosto, el equipo de Convive la Noche realizó visitas a los establecimientos que están solicitando extensión de horario con la finalidad de verificar la actividad que están realizando en el momento. Se verifica si cumplen con el espacio para venta y consumo de licor y la documentación contemplada en la Ley 1801 del 2016, se hace mediciones de ruido dejando las recomendaciones de los decibeles permitidos. Se  continúa con la estrategia "Parche seguro" y con la entrega de las piezas pedagógicas referentes al autocuidado y se sensibiliza a los comerciantes sobre la importancia de seguir con el cumplimiento estricto de las normas de bioseguridad. Se hicieron 4 visitas y 4 mediciones. </t>
  </si>
  <si>
    <t xml:space="preserve">-	El 20 de agosto en la vereda La Palma se realizó en compañía de la Secretaría de Gestión y Control Territorial un recorrido pedagógico, sensibilizando a la comunidad sobre las infracciones urbanísticas, el Código Nacional de Seguridad y Convivencia y las estafas inmobiliarias. 
-	Comuna Nuevo Occidente: 18 de agosto, en la Urbanización la Aurora se realizó sensibilización a tenderos que venden licores y escuchan música a altos decibeles, perturbando la tranquilidad de la comunidad. Se busca concientizar a los comerciantes sobre la importancia de vivir en sana Convivencia sin tanta contaminación auditiva. 
</t>
  </si>
  <si>
    <t xml:space="preserve">-	El 20 de agosto en la vereda La Palma se realizó en compañía de la Secretaría de Gestión y Control Territorial un recorrido pedagógico, sensibilizando a la comunidad sobre las infracciones urbanísticas, el Código Nacional de Seguridad y Convivencia y las estafas inmobiliarias. Se impactaron 40 personas. 
-	Comuna Nuevo Occidente: 18 de agosto, en la Urbanización la Aurora se realizó sensibilización a tenderos que venden licores y escuchan música a altos decibeles, perturbando la tranquilidad de la comunidad. Se busca concientizar a los comerciantes sobre la importancia de vivir en sana Convivencia sin tanta contaminación auditiva. Se impactaron 17 personas.
</t>
  </si>
  <si>
    <t xml:space="preserve">-	El 19 de agosto en el barrio Nuevo Amanecer, con la articulación de la Secretaría de las Mujeres, se realizó activación de Espacios Seguros para las mujeres y las niñas como forma de prevención de la violencia por medio actividad pedagógica sobre el respeto por la vida, fortaleciendo el amor propio, la autoestima, descubriendo que las personas más importantes en su vida son ellas mismas. 
-	El 20 de agosto en el sector la Perla en articulación con la Secretaría de Salud y Cultura y Preci se materializa la estrategia Medellín Me cuida, donde se enmarca el compromiso objetivo de autocuidado y adopción de medidas de bioseguridad.  
</t>
  </si>
  <si>
    <t xml:space="preserve">-	El 19 de agosto en el barrio Nuevo Amanecer, con la articulación de la Secretaría de las Mujeres, se realizó activación de Espacios Seguros para las mujeres y las niñas como forma de prevención de la violencia por medio actividad pedagógica sobre el respeto por la vida, fortaleciendo el amor propio, la autoestima, descubriendo que las personas más importantes en su vida son ellas mismas. Participaron 8 personas.
-	El 20 de agosto en el sector la Perla en articulación con la Secretaría de Salud y Cultura y Preci se materializa la estrategia Medellín Me cuida, donde se enmarca el compromiso objetivo de autocuidado y adopción de medidas de bioseguridad. Se impactaron  80 personas. 
</t>
  </si>
  <si>
    <t xml:space="preserve">-	Campaña contra Hurto a Motocicletas.
-	Reunión con el Secretario de Seguridad y Convivencia junto a los Corregidores para tratar los temas de seguridad que los aquejan
-	Se realiza campaña en contra la Extorsión a Comerciantes en articulación con el Gaula.
-	El 17 de agosto se realizó la jornada de socialización de Código Nacional de Seguridad y Convivencia y el código penal, en especial el delito de la extorsión como impacto negativo para la Convivencia y la Seguridad Ciudadana. Participaron de la actividad, la Policía de prevención ciudadana (preci), el Ejército Nacional (grupo Gaula), el Promotor Local de Convivencia y la Gestora de Seguridad. Esta actividad fue realizada con el propósito de hacer un llamado a la comunidad a denunciar la conducta delictiva de la extorsión, conocer las rutas para hacer una adecuada denuncia, mejorar el autocuidado ante una posible amenaza extorsiva, identificar actores aliados para dicho propósito y generar confianza, seguridad y convivencia en los comerciantes del corregimiento. 
</t>
  </si>
  <si>
    <t>-	El 17 de agosto se realizó la jornada de socialización de Código Nacional de Seguridad y Convivencia y el código penal, en especial el delito de la extorsión como impacto negativo para la Convivencia y la Seguridad Ciudadana. Participaron de la actividad, la Policía de prevención ciudadana (preci), el Ejército Nacional (grupo Gaula), el Promotor Local de Convivencia y la Gestora de Seguridad. Esta actividad fue realizada con el propósito de hacer un llamado a la comunidad a denunciar la conducta delictiva de la extorsión, conocer las rutas para hacer una adecuada denuncia, mejorar el autocuidado ante una posible amenaza extorsiva, identificar actores aliados para dicho propósito y generar confianza, seguridad y convivencia en los comerciantes del corregimiento. Se impactaron 159 ciudadanos aproximadamente.</t>
  </si>
  <si>
    <t xml:space="preserve">-	Durante la semana de Feria de Flores se realizó acompañamiento por parte del personal operativo en el corregimiento de Santa Elena y en sus respectivas veredas  para el control de venteros en la zona debido a la alta demanda de personas que se desplazaban hasta allí.
-	Recorridos de verificación de esquemas de seguridad en fincas silleteras con atención a público.
-	Acompañamiento a artesanos del parque para actividad de 21 y 22 de agosto.
-	Reunión de establecimiento de listado de fincas para visitas.
-	Acompañamiento a jornada de construcción de silletas en 177 fincas. 18 horas
-	Visitas a fincas silleteras y control de aforos. 18 horas.
-	El 14 de agosto en articulación con la Gerencia de Corregimientos, se realizó recorrido de verificación de aforos y protocolos de bioseguridad por la centralidad de Santa Elena y fincas silleteras, además de seguir con las recomendaciones del auto cuidado y el uso de tapa bocas. 
-	El 19 de agosto de 2021, en la vereda Media Luna se realizó campaña pedagógica y de sensibilización con la estrategia "Pilas Compra Legal” en articulación con la Secretaría de Gestión y Control Territorial, con el propósito de prevenir la compra inmobiliaria y la compra de predios con el fin de no ser víctimas de una estafa. 
</t>
  </si>
  <si>
    <t>-	El 14 de agosto en articulación con la Gerencia de Corregimientos, se realizó recorrido de verificación de aforos y protocolos de bioseguridad por la centralidad de Santa Elena y fincas silleteras, además de seguir con las recomendaciones del auto cuidado y el uso de tapa bocas. Se logró visitar 11 fincas y se impactaron 80 personas.
-	El 19 de agosto de 2021, en la vereda Media Luna se realizó campaña pedagógica y de sensibilización con la estrategia "Pilas Compra Legal” en articulación con la Secretaría de Gestión y Control Territorial, con el propósito de prevenir la compra inmobiliaria y la compra de predios con el fin de no ser víctimas de una estafa. Se impactan a 80 personas.</t>
  </si>
  <si>
    <t>35 Metros cuadrados de espacio público recuperados mediante 2 procesos de remoción.</t>
  </si>
  <si>
    <t>70 Metros cuadrados de espacio público recuperados mediante 2 procesos de remoción.</t>
  </si>
  <si>
    <t>18 Metros cuadrados de espacio público recuperados mediante 460 procesos de remoción.</t>
  </si>
  <si>
    <t>173 Metros cuadrados de espacio público recuperados mediante 4 procesos de remoción.</t>
  </si>
  <si>
    <t>440 Metros cuadrados de espacio público recuperados mediante 9 procesos de remoción.</t>
  </si>
  <si>
    <t>20 Metros cuadrados de espacio público recuperados mediante 1 proceso de remoción.</t>
  </si>
  <si>
    <t>150 Metros cuadrados de espacio público recuperados mediante 4 procesos de remoción.</t>
  </si>
  <si>
    <t xml:space="preserve">Sensibilizar a la primera infancia, adolescencia y juventud sobre la correcta ocupación y apropiación del territorio </t>
  </si>
  <si>
    <t>población atendida: 95 ciudadanos.</t>
  </si>
  <si>
    <t>capacitar a los actores territoriales en procesos de legalidad, construcción y ética en cuanto a la ocupación de la ciudad mediante jornada de atención.</t>
  </si>
  <si>
    <t>Población atendida: 102 ciudadanos.</t>
  </si>
  <si>
    <t>capacitar a los actores territoriales en procesos de legalidad, construcción y ética en cuanto a la ocupación de la ciudad mediante jornada de atención</t>
  </si>
  <si>
    <t>Población atendida: 56 ciudadanos.</t>
  </si>
  <si>
    <t xml:space="preserve">Elaboración del primer informe de supervisión directa del Convenio Interadministrativo suscrito entre la Secretaría de Movilidad y UNE TELCO S.A., permitiendo la identificación y propuesta de acciones de mejora a los servicios concesionados, especialmente los relacionados con la atención de trámites de tránsito y sistemas de información	
Elaboración con la Unidad de Inspecciones y la Subsecretaria de Seguridad Vial y Control del flujo del trámite preferencial de procedimientos contravencionales de tránsito relacionados con el código de infracción D12 (prestación informal del servicio de transporte público por medio de vehículos particulares)	
Aprobación por parte de la Secretaría de Servicios a la Ciudadanía y la Secretaría de Innovación Digital de la priorización con fines de automatización del proceso de desvinculaciones administrativas de vehículos de servicio público, permitiendo que finalizando el año 2021 se inicie el trámite de estructuración técnica para la automatización de flujos de trabajo y conformación de un expediente digital.	
Por tercera vez, la Secretaría cuenta con el 100% en el indicador de oportunidad de las PQRSD del mes de junio
Se están llevando a cabo las estrategias pedagógicas de Transformación Educativa y Cultural con las cuales se ha logrado intervenir un total de 111.110 personas hasta el 22 de agosto de 2021	
Durante la semana del 16 al 22 de agosto se participó de eventos de Feria de Flores como: Escenario Colombia, parque de las Flores Juanes de la Paz y desfile de silleteros. Con estas intervenciones se logró llegar a 1.600 personas con el enfoque Visión Cero y mensajes de prevención de la conducción en estado de embriaguez, y con los agentes de tránsito se realizaron los diferentes cierres y acompañamientos.	
Se llevó acabo el dia del peatón el 17 de agosto en el cual se realizaron intervenciones específicas a este actor vial en los puntos de mayor incidentalidad y en la Alhambra se realizaron actividades que permitieran a los peatones el sano disfrute del espacio público. Con estas actividades se logró intervenir 1.763 personas.	
La Secretaria de Movilidad a través de los Agentes de tránsito y en articulación con el área Metropolitana continúan con los controles a las emisiones contaminantes a fuentes móviles , de los controles realizados se tienen los siguientes resultados del 16 al 22 de Agosto de 2021 : 781 Pruebas, de estas 70 comparendos y 6 inmovilizaciones.
</t>
  </si>
  <si>
    <t>No se reportan logros territoriales</t>
  </si>
  <si>
    <t>Taller de sensibilización en instituciones educativas, con el fin de establecer otros referentes respecto a temas de la gerencia.</t>
  </si>
  <si>
    <t xml:space="preserve">105 personas impactadas en instituciones educativas. </t>
  </si>
  <si>
    <t xml:space="preserve">Formacion y sensibilización a funcionarios de comisarias de familia, inspectores y corregidores, bajo la dinamiza de ser ellos primeros respondientes en casos que referencian población LGBTI </t>
  </si>
  <si>
    <t>135 funcionarios de estas entidades.</t>
  </si>
  <si>
    <t xml:space="preserve">Dar a conocer la gerencia en escenarios de esparcimiento familiar, a si como acompañar los procesos que se dinamizan en la zona y cuya demanda implica fortalecer temas de diversidad. </t>
  </si>
  <si>
    <t>25 jóvenes participantes del festival.</t>
  </si>
  <si>
    <t>Recorrido en el sector, con el fin de acompañar a la población trans en ejercicio de prostitución  con el fin de ser referente de apoyo y protección de sus derechos</t>
  </si>
  <si>
    <t>12 personas trans que están en la zona.</t>
  </si>
  <si>
    <t xml:space="preserve">25 de agosto: Taller de siembra con Grupo Ambiental Poderoso y Hábitat Joven </t>
  </si>
  <si>
    <t>Con la participación de 60 jóvenes</t>
  </si>
  <si>
    <t>25 de agosto: Bazar colaborativo: Trueques, compartir y juntanza en el Mercado Joven de las Osadías. Medellín Joven: oportunidades gratuitas para las juventudes de Medellín.</t>
  </si>
  <si>
    <t>Se espera contar con la participación de 60 jóvenes.</t>
  </si>
  <si>
    <t xml:space="preserve"> 26 de agosto: Taller de Salud Mental  y taller emprendimientos creativos.</t>
  </si>
  <si>
    <t>Se espera contar con la participación de 50 jóvenes.</t>
  </si>
  <si>
    <t xml:space="preserve"> 26 de agosto: Encuentro de libertades religiosas y de culto, un intercambio de experiencias de las juventudes de Medellín.</t>
  </si>
  <si>
    <t>27 de agosto: Taller sobre orientaciones sexuales e identidades de género. Convoca: Gerencia de Diversidades Sexuales e Identidades de Género.</t>
  </si>
  <si>
    <t>Se espera la participación de 50 jóvenes.</t>
  </si>
  <si>
    <t>25 de agosto: Jornada comunitaria y futbolera.</t>
  </si>
  <si>
    <t>25 de agosto: Huertas, seguridad y soberanía alimentaria en San Antonio de Prado.</t>
  </si>
  <si>
    <t>Entrega de kits escolares y elementos didácticos a niños y niñas Afrodescendientes de la comuna</t>
  </si>
  <si>
    <t xml:space="preserve">70 niños y niñas Afrodescendientes beneficiados </t>
  </si>
  <si>
    <t>1.	Alcance en publicaciones en redes</t>
  </si>
  <si>
    <t>Las publicaciones alcanzaron estas estadísticas en la última semana Número de Publicaciones: 66 Twitter 123.800 impresiones y 1.077 interacciones. Instagram 5.000 impresiones y 202 acciones Facebook 1.395 personas alcanzadas y 115 interacciones.</t>
  </si>
  <si>
    <t>2.	Acciones en pro de la seguridad de las Mujeres en la comuna 10</t>
  </si>
  <si>
    <t xml:space="preserve">Con la secretaria de Mujeres hemos llevado el taller "Espacios seguros para niñas y mujeres" a la plaza minorista. En este proceso hemos logrado impactar 50 personas de la plaza, logrando sensibilizar el trato que reciben las niñas y mujeres en el sector. </t>
  </si>
  <si>
    <t>Lanzamiento del libro El color de la palabra y la revista Afrodescendientes</t>
  </si>
  <si>
    <t>3.	Realización del Lanzamiento del libro El color de la palabra y la revista Afrodescendientes. Este evento se realiza con alianza entre la JAC de la comuna 10 y La Casa Centro Cultural, se logró impactar 50 personas de forma presencial y 30 personas más, en la parte virtual</t>
  </si>
  <si>
    <t>4.	Actividades de Feria en la Comuna 10</t>
  </si>
  <si>
    <t>El Pasado 14 de agosto, en el marco de La Feria de Las Flores se realizó en compañía de Asoguayaquil en el sector de Alhambra, el Desfile de Silleteritos de Alhambra, con la participación de 90 niños aproximadamente de la Fundación Jardín de Amor. -Igualmente el mismo sábado 14 de agosto se realizó en compañía de Corbolivar, se realizó el tradicional Desfile de Caballitos de Palo, evento que llegó a su versión número XXI y que contó con la participación de más de 200 niños y corporaciones culturales del Distrito Comercial</t>
  </si>
  <si>
    <t xml:space="preserve">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
</t>
  </si>
  <si>
    <t xml:space="preserve">Existe documento de trabajo sobre la reglamentación de la Plusvalía por Obra Pública y de la PPPMAEP.
</t>
  </si>
  <si>
    <t>Avance en la implementación de los primeros encuentros pedagógicos en los territorios, los cuales han sido recibidos de manera asertiva y comprometida por parte de los diferentes actores participantes .</t>
  </si>
  <si>
    <t>Lanzamiento del tablero de analítica y predictiva para la prevención de embarazo adolescente, en articulación con las Secretarías de Salud y Educación.</t>
  </si>
  <si>
    <t>250 personas impactadas en el evento.</t>
  </si>
  <si>
    <t>Se continua en la vacunación del refuerzo del rubeola y sarampión a todos los niños y niñas de las diferentes sedes, por lo cual se impacta en todas las comunas.</t>
  </si>
  <si>
    <t xml:space="preserve">Impactará en gran manera el bienestar de 46.565 niños y niñas.
</t>
  </si>
  <si>
    <t xml:space="preserve">Presencialidad
 99,5% Establecimientos Educativos Oficiales y Privados en Presencialidad
 93,2% Estudiantes en Presencialidad
98,7% Docentes de Instituciones Educativas Oficiales en Presencialidad.
</t>
  </si>
  <si>
    <t xml:space="preserve">Entorno Escolar Protector
Durante esta semana desde el Programa Entorno Escolar Protector, se realizaron las siguientes acciones:
Llamadas para verificación del estado socioemocional de las familias y los estudiantes: 583
Visitas para identificación de algún riesgo psicosocial: 46
Adicionalmente, se realizaron las siguientes atenciones, llamadas y visitas domiciliarias a las comunidades educativas (estudiantes, docentes, directivos docentes y familias), en las 16 comunas y los 5 corregimientos de la ciudad de Medellín.
Comuna 1: 79
Comuna 2: 61
Comuna 3: 85
Comuna 4: 95
Comuna 5: 119
Comuna 6: 49
Comuna 7: 140
Comuna 8: 119
Comuna 9: 72
Comuna 10: 32
Comuna 11: 37
Comuna 12: 80
Comuna 13: 138
Comuna 14: 40
Comuna 15: 69
Comuna 16: 84
Comuna 50: 2
Comuna 60: 110
Comuna 70: 32
Comuna 80: 50
Comuna 90: 4
Asimismo, se realizaron 1.445  acciones encaminadas a los procesos transversales del programa: asesoría y asistencia técnica, formación, movilización, gestión y articulación, dirigido a la comunidad educativas y 799 atenciones psicosociales. </t>
  </si>
  <si>
    <t xml:space="preserve">Transformación Curricular
Estas son las comunas (13), instituciones educativas (18 I.E), con asesorías y asistencias técnicas (AAT= 15), en el marco del cumplimioento de la meta del indicador del PDM 2020-2023 Medellín Futuro: I.E Oficiales acompañadas para la adecuación de su modelo curricular en la 4ta Revolución Industrial:
Semana del 17 al 20 de agosto de 2021:
Comuna 1: 1 I.E
Comuna 2: 2 I.E 
Comuna 4: 1 I.E
Comuna 5: 2 I.E 
Comuna 7: 1 I.E 
Comuna 8: 3 I.E
Comuna 9: 2 I.E 
Comuna 13: 1 I.E 
Comuna 14: 1 I.E
Comuna 16: 1 I.E 
Comuna 60: 1 C.E
Comuna 70: 1 I.E
Comuna 80: 1 I.E 
</t>
  </si>
  <si>
    <t>Educación T&amp;T
Formación en ROBÓTICA BÁSICA dirigido a estudiantes de grado 8 y 9 de las instituciones educativas: 
Estudiantes inscritos 60
Cantidad docentes beneficiados:
Comuna 1:   2
Comuna 2:   1
Comuna 4    3
Comuna 5:   6
Comuna 6:   6
Comuna 7:   4
Comuna 8:   1
Comuna 9:   3
Comuna 13:  5
Comuna 14:  1
Comuna15 :  14
Comuna 16:  7
Comuna 60:  5 
Comuna 70:  1 
Comuna 80:  1</t>
  </si>
  <si>
    <t>Comuna 7, Robledo: 1 Encuentro sectorial en el marco de las elecciones de los CCCP
21/08/2021 ONG</t>
  </si>
  <si>
    <t>"Comuna 12, La América: 34 Encuentros sectoriales en el marco de las elecciones de los CCCP
18/08/2021 Jóvenes
18/08/2021 Actividades económicas
18/08/2021 Industria
18/08/2021 Comercio
18/08/2021 Construcción
18/08/2021 ONG
18/08/2021 Personas con Discapacidad
18/08/2021 UNIVERSIDADES, INSTITUCIONES UNIVERSITARIAS Y CENTROS DE INVESTIGACIÓN LEGALMENTE RECONOCIDOS
18/08/2021 I.E Públicas y Privadas
18/08/2021 Trabajadores Sindicalizados
18/08/2021 Economía social solidaria
18/08/2021 Afrodescendiente
18/08/2021 LGTBI
18/08/2021 Indígenas
18/08/2021 Organizaciones basadas en la fe
18/08/2021 Campesinos
18/08/2021 Economía Informal
18/08/2021 Cultura
18/08/2021 Barrismo
18/08/2021 Infancia y Adolescencia
18/08/2021 Movilidad
18/08/2021 Servicios Profesionales
18/08/2021 Infraestructura
18/08/2021 Víctimas
18/08/2021 DDHH
18/08/2021 Estudiantes universitarios
18/08/2021 Recreación y Deporte
18/08/2021 Adulto mayor
18/08/2021 Organizaciones sociales
18/08/2021 Ecológico Ambiental
18/08/2021 Mujeres
18/08/2021 Comunicaciones
18/08/2021 Veedurías
18/08/2021 Salud
"</t>
  </si>
  <si>
    <t>"Corregimiento 50, San Sebastián de Palmitas:  10 Encuentros sectoriales en el marco de las elecciones de los CCCP.
17/08/2021 I.E Públicas y Privadas
17/08/2021 Organizaciones basadas en la fe
17/08/2021 Emprendimiento
18/08/2021 Jóvenes
18/08/2021 Acueductos veredales
21/08/2021 Estudiantes universitarios
21/08/2021 Construcción
22/08/2021 Cafeteros
22/08/2021 Veedurías
22/08/2021 Víctimas"</t>
  </si>
  <si>
    <t>"Corregimiento 70, Altavista: 1 Encuentro sectorial en el marco de las elecciones de los CCCP
17/08/2021 Medios y procesos de comunicación comunicatorios."</t>
  </si>
  <si>
    <t>"Encuentro Feminismo, un salvavidas: Micromachismo y sexismo cotidiano. Fecha: 20 de Agosto de 2021. Hora: 02:00 pm
Total de participantes:46
Total de Mujeres: 44 (96%)
Total de Hombre: 2
Reporte Comuna
2. Santa Cruz:1
3. Manrique:2
4. Aranjuez:3
5. Castilla:3
6. Doce de Octubre:2
7. Robledo:6
10. La Candelaría:2
11. Laureles Estadio:1
12. La América:2
13. San Javier:2
15. Guayabal:2
16. Belén:3
60. San Cristóbal:1
80. San Antonio de Prado:1
No especifica:7
Otro Municipio:8
Encuentro Exposición: Paz ¡Creer para ver! Fecha: 18 de Agosto de 2021. Hora: 02:00 pm
Total de participantes:6
Total de Mujeres: 3
Total de Hombre: 3
Reporte Comuna
4. Aranjuez: 1
6. Doce de Octubre: 1
14. El Poblado: 1
16. Belén: 1
No especifica: 2
Encuentro Creación de contenidos audiovisuales para internet. Fecha: 18 de Agosto de 2021. Hora: 10:00 am
Total de participantes:18
Total de Mujeres: 12
Total de Hombre: 6
Reporte Comuna
1. Popular: 2
2. Santa Cruz: 1
4. Aranjuez: 1
5. Castilla: 2
7. Robledo: 2
14. El Poblado: 1
16. Belén: 3
70. Altavista: 1
No especifica: 4
Otro Municipio: 1"</t>
  </si>
  <si>
    <t xml:space="preserve">Se realizarán talleres en el Colegio The New School en compañía de secretaría de juventud y secretaría de mujeres. Se espera impactar aproximadamente 500 estudiantes y 90 personas de planta de la institución. </t>
  </si>
  <si>
    <t xml:space="preserve">Participación en la feria de servicios municipales para los inquilinatos, donde daremos a conocer nuestros ejes temáticos.
</t>
  </si>
  <si>
    <t xml:space="preserve">comuna 1 talleres en institución de buen comienzo 
</t>
  </si>
  <si>
    <t xml:space="preserve">el 26 de agosto, se realizará la primera jornada de trabajo con la mesa  para revisar el estado actual de los Comités Comunitarios de Gestión del Riesgo de Desastres (CCGRD), retos, desafíos y futuro como pieza fundamental en la ciudad para la gestión del riesgo de desastres.
</t>
  </si>
  <si>
    <t>Se tuvo el encuentro de intercambio de experiencias sobre el COVID-19 como escenario de riesgo de desastres con el COSEGRD Comuna 4</t>
  </si>
  <si>
    <t>comuna 5 Talleres en instituciones de buen comienzo</t>
  </si>
  <si>
    <t>Reunión con el Centro Penitenciario Pedregal para el apoyo y acompañamiento a la implementación del Plan de evacuación. Este centro carcelario cuenta con una población de 3420 internos comuna 6</t>
  </si>
  <si>
    <t xml:space="preserve">Participación en la feria de servicios municipales para los inquilinatos, donde daremos a conocer nuestros ejes temáticos. Comuna 10
</t>
  </si>
  <si>
    <t>Ruta Medellín Cuida lo Público</t>
  </si>
  <si>
    <t>27/08/21</t>
  </si>
  <si>
    <t>No recibido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</si>
</sst>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rgb="FF000000"/>
      <name val="Calibri"/>
    </font>
    <font>
      <b/>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applyFont="1" applyAlignment="1"/>
    <xf numFmtId="0" fontId="0" fillId="0" borderId="1" xfId="0" applyFont="1" applyBorder="1" applyAlignment="1"/>
    <xf numFmtId="22" fontId="0" fillId="0" borderId="1" xfId="0" applyNumberFormat="1" applyFont="1" applyBorder="1"/>
    <xf numFmtId="0" fontId="0" fillId="3" borderId="1" xfId="0" applyFont="1" applyFill="1" applyBorder="1" applyAlignment="1"/>
    <xf numFmtId="0" fontId="0" fillId="0" borderId="1" xfId="0" applyFont="1" applyBorder="1" applyAlignment="1">
      <alignment wrapText="1"/>
    </xf>
    <xf numFmtId="0" fontId="0" fillId="2"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14" fontId="0" fillId="0" borderId="0" xfId="0" applyNumberFormat="1" applyFont="1" applyAlignment="1"/>
    <xf numFmtId="49" fontId="1" fillId="2" borderId="1" xfId="0" applyNumberFormat="1" applyFont="1" applyFill="1" applyBorder="1" applyAlignment="1">
      <alignment horizontal="center" vertical="center"/>
    </xf>
    <xf numFmtId="49" fontId="0" fillId="0" borderId="0" xfId="0" applyNumberFormat="1" applyFont="1" applyAlignment="1">
      <alignment horizontal="center"/>
    </xf>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24</xdr:row>
      <xdr:rowOff>177800</xdr:rowOff>
    </xdr:from>
    <xdr:to>
      <xdr:col>5</xdr:col>
      <xdr:colOff>50800</xdr:colOff>
      <xdr:row>28</xdr:row>
      <xdr:rowOff>25400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25400</xdr:colOff>
      <xdr:row>24</xdr:row>
      <xdr:rowOff>177800</xdr:rowOff>
    </xdr:from>
    <xdr:to>
      <xdr:col>5</xdr:col>
      <xdr:colOff>50800</xdr:colOff>
      <xdr:row>28</xdr:row>
      <xdr:rowOff>25400</xdr:rowOff>
    </xdr:to>
    <xdr:pic>
      <xdr:nvPicPr>
        <xdr:cNvPr id="2" name="CommandButton1">
          <a:extLst>
            <a:ext uri="{FF2B5EF4-FFF2-40B4-BE49-F238E27FC236}">
              <a16:creationId xmlns:a16="http://schemas.microsoft.com/office/drawing/2014/main" id="{62ACD9D4-AD19-1440-8E9B-A8463A403A1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58300" y="11125200"/>
          <a:ext cx="2959100" cy="609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CJ94"/>
  <sheetViews>
    <sheetView workbookViewId="0">
      <pane ySplit="1" topLeftCell="A2" activePane="bottomLeft" state="frozen"/>
      <selection pane="bottomLeft" activeCell="C35" sqref="C35"/>
    </sheetView>
  </sheetViews>
  <sheetFormatPr baseColWidth="10" defaultColWidth="14.5" defaultRowHeight="15" customHeight="1" x14ac:dyDescent="0.2"/>
  <cols>
    <col min="1" max="1" width="10.6640625" style="1" customWidth="1"/>
    <col min="2" max="2" width="15.6640625" style="1" bestFit="1" customWidth="1"/>
    <col min="3" max="3" width="60" style="1" bestFit="1" customWidth="1"/>
    <col min="4" max="4" width="34.83203125" style="1" bestFit="1" customWidth="1"/>
    <col min="5" max="5" width="38.5" style="1" bestFit="1" customWidth="1"/>
    <col min="6" max="20" width="10.6640625" style="1" customWidth="1"/>
    <col min="21" max="21" width="17" style="1" customWidth="1"/>
    <col min="22" max="45" width="10.6640625" style="1" customWidth="1"/>
    <col min="46" max="46" width="19.5" style="1" customWidth="1"/>
    <col min="47" max="68" width="10.6640625" style="1" customWidth="1"/>
    <col min="69" max="16384" width="14.5" style="1"/>
  </cols>
  <sheetData>
    <row r="1" spans="1:88" s="4" customFormat="1" ht="32" x14ac:dyDescent="0.2">
      <c r="A1" s="5" t="s">
        <v>0</v>
      </c>
      <c r="B1" s="5" t="s">
        <v>1</v>
      </c>
      <c r="C1" s="5" t="s">
        <v>2</v>
      </c>
      <c r="D1" s="5" t="s">
        <v>3</v>
      </c>
      <c r="E1" s="5" t="s">
        <v>4</v>
      </c>
      <c r="F1" s="5" t="s">
        <v>5</v>
      </c>
      <c r="G1" s="5" t="s">
        <v>6</v>
      </c>
      <c r="H1" s="5" t="s">
        <v>7</v>
      </c>
      <c r="I1" s="6" t="s">
        <v>8</v>
      </c>
      <c r="J1" s="6"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c r="AN1" s="6" t="s">
        <v>39</v>
      </c>
      <c r="AO1" s="6" t="s">
        <v>40</v>
      </c>
      <c r="AP1" s="6" t="s">
        <v>41</v>
      </c>
      <c r="AQ1" s="6" t="s">
        <v>42</v>
      </c>
      <c r="AR1" s="6" t="s">
        <v>43</v>
      </c>
      <c r="AS1" s="6" t="s">
        <v>44</v>
      </c>
      <c r="AT1" s="6" t="s">
        <v>45</v>
      </c>
      <c r="AU1" s="6" t="s">
        <v>46</v>
      </c>
      <c r="AV1" s="6" t="s">
        <v>47</v>
      </c>
      <c r="AW1" s="6" t="s">
        <v>48</v>
      </c>
      <c r="AX1" s="6" t="s">
        <v>49</v>
      </c>
      <c r="AY1" s="6" t="s">
        <v>50</v>
      </c>
      <c r="AZ1" s="6" t="s">
        <v>51</v>
      </c>
      <c r="BA1" s="6" t="s">
        <v>52</v>
      </c>
      <c r="BB1" s="6" t="s">
        <v>53</v>
      </c>
      <c r="BC1" s="6" t="s">
        <v>54</v>
      </c>
      <c r="BD1" s="6" t="s">
        <v>55</v>
      </c>
      <c r="BE1" s="6" t="s">
        <v>56</v>
      </c>
      <c r="BF1" s="6" t="s">
        <v>57</v>
      </c>
      <c r="BG1" s="6" t="s">
        <v>58</v>
      </c>
      <c r="BH1" s="6" t="s">
        <v>59</v>
      </c>
      <c r="BI1" s="6" t="s">
        <v>60</v>
      </c>
      <c r="BJ1" s="6" t="s">
        <v>61</v>
      </c>
      <c r="BK1" s="6" t="s">
        <v>62</v>
      </c>
      <c r="BL1" s="6" t="s">
        <v>63</v>
      </c>
      <c r="BM1" s="6" t="s">
        <v>64</v>
      </c>
      <c r="BN1" s="6" t="s">
        <v>65</v>
      </c>
      <c r="BO1" s="6" t="s">
        <v>66</v>
      </c>
      <c r="BP1" s="6" t="s">
        <v>67</v>
      </c>
    </row>
    <row r="2" spans="1:88" x14ac:dyDescent="0.2">
      <c r="A2" s="1">
        <v>203023</v>
      </c>
      <c r="B2" s="2">
        <v>44435</v>
      </c>
      <c r="C2" s="13" t="s">
        <v>88</v>
      </c>
      <c r="D2" s="1" t="s">
        <v>278</v>
      </c>
      <c r="E2" s="1" t="s">
        <v>278</v>
      </c>
      <c r="F2" s="13" t="s">
        <v>83</v>
      </c>
      <c r="G2" s="13" t="s">
        <v>134</v>
      </c>
      <c r="H2" s="13" t="s">
        <v>135</v>
      </c>
      <c r="I2" s="13" t="s">
        <v>69</v>
      </c>
      <c r="J2" s="13" t="s">
        <v>136</v>
      </c>
      <c r="K2" s="13" t="s">
        <v>137</v>
      </c>
      <c r="L2" s="13" t="s">
        <v>100</v>
      </c>
      <c r="M2" s="13" t="s">
        <v>138</v>
      </c>
      <c r="N2" s="13" t="s">
        <v>139</v>
      </c>
      <c r="O2" s="13" t="s">
        <v>85</v>
      </c>
      <c r="P2" s="13" t="s">
        <v>140</v>
      </c>
      <c r="Q2" s="13"/>
      <c r="R2" s="13" t="s">
        <v>90</v>
      </c>
      <c r="S2" s="13" t="s">
        <v>141</v>
      </c>
      <c r="T2" s="13" t="s">
        <v>142</v>
      </c>
      <c r="U2" s="13" t="s">
        <v>92</v>
      </c>
      <c r="V2" s="13" t="s">
        <v>143</v>
      </c>
      <c r="W2" s="13"/>
      <c r="X2" s="13" t="s">
        <v>97</v>
      </c>
      <c r="Y2" s="13" t="s">
        <v>144</v>
      </c>
      <c r="Z2" s="13" t="s">
        <v>145</v>
      </c>
      <c r="AA2" s="13" t="s">
        <v>89</v>
      </c>
      <c r="AB2" s="13" t="s">
        <v>146</v>
      </c>
      <c r="AC2" s="13" t="s">
        <v>147</v>
      </c>
      <c r="AD2" s="13" t="s">
        <v>82</v>
      </c>
      <c r="AE2" s="13" t="s">
        <v>148</v>
      </c>
      <c r="AF2" s="13" t="s">
        <v>149</v>
      </c>
      <c r="AG2" s="13" t="s">
        <v>69</v>
      </c>
      <c r="AH2" s="13" t="s">
        <v>150</v>
      </c>
      <c r="AI2" s="13" t="s">
        <v>151</v>
      </c>
      <c r="AJ2" s="13" t="s">
        <v>79</v>
      </c>
      <c r="AK2" s="13" t="s">
        <v>152</v>
      </c>
      <c r="AL2" s="13" t="s">
        <v>147</v>
      </c>
      <c r="AM2" s="13" t="s">
        <v>91</v>
      </c>
      <c r="AN2" s="13" t="s">
        <v>153</v>
      </c>
      <c r="AO2" s="13" t="s">
        <v>154</v>
      </c>
      <c r="AP2" s="13" t="s">
        <v>91</v>
      </c>
      <c r="AQ2" s="13" t="s">
        <v>155</v>
      </c>
      <c r="AR2" s="13" t="s">
        <v>156</v>
      </c>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t="s">
        <v>129</v>
      </c>
      <c r="CJ2" s="13" t="s">
        <v>113</v>
      </c>
    </row>
    <row r="3" spans="1:88" s="3" customFormat="1" x14ac:dyDescent="0.2">
      <c r="A3" s="1">
        <v>203023</v>
      </c>
      <c r="B3" s="2">
        <v>44435</v>
      </c>
      <c r="C3" s="13" t="s">
        <v>109</v>
      </c>
      <c r="D3" s="1" t="s">
        <v>278</v>
      </c>
      <c r="E3" s="1" t="s">
        <v>278</v>
      </c>
      <c r="F3" s="13" t="s">
        <v>71</v>
      </c>
      <c r="G3" s="13" t="s">
        <v>157</v>
      </c>
      <c r="H3" s="13" t="s">
        <v>158</v>
      </c>
      <c r="I3" s="13" t="s">
        <v>71</v>
      </c>
      <c r="J3" s="13" t="s">
        <v>159</v>
      </c>
      <c r="K3" s="13"/>
      <c r="L3" s="13" t="s">
        <v>92</v>
      </c>
      <c r="M3" s="13" t="s">
        <v>160</v>
      </c>
      <c r="N3" s="13" t="s">
        <v>161</v>
      </c>
      <c r="O3" s="13" t="s">
        <v>69</v>
      </c>
      <c r="P3" s="13" t="s">
        <v>162</v>
      </c>
      <c r="Q3" s="13" t="s">
        <v>163</v>
      </c>
      <c r="R3" s="13" t="s">
        <v>100</v>
      </c>
      <c r="S3" s="13" t="s">
        <v>164</v>
      </c>
      <c r="T3" s="13" t="s">
        <v>165</v>
      </c>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row>
    <row r="4" spans="1:88" x14ac:dyDescent="0.2">
      <c r="A4" s="1">
        <v>203023</v>
      </c>
      <c r="B4" s="2">
        <v>44435</v>
      </c>
      <c r="C4" s="13" t="s">
        <v>78</v>
      </c>
      <c r="D4" s="1" t="s">
        <v>278</v>
      </c>
      <c r="E4" s="1" t="s">
        <v>278</v>
      </c>
      <c r="F4" s="13" t="s">
        <v>81</v>
      </c>
      <c r="G4" s="13" t="s">
        <v>166</v>
      </c>
      <c r="H4" s="13" t="s">
        <v>84</v>
      </c>
      <c r="I4" s="13" t="s">
        <v>77</v>
      </c>
      <c r="J4" s="13" t="s">
        <v>167</v>
      </c>
      <c r="K4" s="13" t="s">
        <v>168</v>
      </c>
      <c r="L4" s="13" t="s">
        <v>100</v>
      </c>
      <c r="M4" s="13" t="s">
        <v>169</v>
      </c>
      <c r="N4" s="13" t="s">
        <v>80</v>
      </c>
      <c r="O4" s="13" t="s">
        <v>97</v>
      </c>
      <c r="P4" s="13" t="s">
        <v>170</v>
      </c>
      <c r="Q4" s="13" t="s">
        <v>171</v>
      </c>
      <c r="R4" s="13"/>
      <c r="S4" s="13" t="s">
        <v>172</v>
      </c>
      <c r="T4" s="13" t="s">
        <v>173</v>
      </c>
      <c r="U4" s="13" t="s">
        <v>83</v>
      </c>
      <c r="V4" s="13" t="s">
        <v>174</v>
      </c>
      <c r="W4" s="13" t="s">
        <v>80</v>
      </c>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row>
    <row r="5" spans="1:88" x14ac:dyDescent="0.2">
      <c r="A5" s="1">
        <v>203023</v>
      </c>
      <c r="B5" s="2">
        <v>44435</v>
      </c>
      <c r="C5" s="13" t="s">
        <v>96</v>
      </c>
      <c r="D5" s="1" t="s">
        <v>278</v>
      </c>
      <c r="E5" s="1" t="s">
        <v>278</v>
      </c>
      <c r="F5" s="13" t="s">
        <v>74</v>
      </c>
      <c r="G5" s="13" t="s">
        <v>175</v>
      </c>
      <c r="H5" s="13" t="s">
        <v>176</v>
      </c>
      <c r="I5" s="13" t="s">
        <v>97</v>
      </c>
      <c r="J5" s="13" t="s">
        <v>177</v>
      </c>
      <c r="K5" s="13" t="s">
        <v>178</v>
      </c>
      <c r="L5" s="13" t="s">
        <v>89</v>
      </c>
      <c r="M5" s="13" t="s">
        <v>179</v>
      </c>
      <c r="N5" s="13" t="s">
        <v>180</v>
      </c>
      <c r="O5" s="13" t="s">
        <v>81</v>
      </c>
      <c r="P5" s="13" t="s">
        <v>181</v>
      </c>
      <c r="Q5" s="13" t="s">
        <v>182</v>
      </c>
      <c r="R5" s="13" t="s">
        <v>85</v>
      </c>
      <c r="S5" s="13" t="s">
        <v>183</v>
      </c>
      <c r="T5" s="13" t="s">
        <v>184</v>
      </c>
      <c r="U5" s="13" t="s">
        <v>70</v>
      </c>
      <c r="V5" s="13" t="s">
        <v>185</v>
      </c>
      <c r="W5" s="13" t="s">
        <v>186</v>
      </c>
      <c r="X5" s="13" t="s">
        <v>77</v>
      </c>
      <c r="Y5" s="13" t="s">
        <v>187</v>
      </c>
      <c r="Z5" s="13" t="s">
        <v>188</v>
      </c>
      <c r="AA5" s="13" t="s">
        <v>83</v>
      </c>
      <c r="AB5" s="13" t="s">
        <v>189</v>
      </c>
      <c r="AC5" s="13" t="s">
        <v>190</v>
      </c>
      <c r="AD5" s="13" t="s">
        <v>69</v>
      </c>
      <c r="AE5" s="13" t="s">
        <v>191</v>
      </c>
      <c r="AF5" s="13" t="s">
        <v>192</v>
      </c>
      <c r="AG5" s="13" t="s">
        <v>82</v>
      </c>
      <c r="AH5" s="13" t="s">
        <v>193</v>
      </c>
      <c r="AI5" s="13"/>
      <c r="AJ5" s="13" t="s">
        <v>98</v>
      </c>
      <c r="AK5" s="13" t="s">
        <v>194</v>
      </c>
      <c r="AL5" s="13" t="s">
        <v>195</v>
      </c>
      <c r="AM5" s="13" t="s">
        <v>72</v>
      </c>
      <c r="AN5" s="13" t="s">
        <v>196</v>
      </c>
      <c r="AO5" s="13" t="s">
        <v>197</v>
      </c>
      <c r="AP5" s="13" t="s">
        <v>90</v>
      </c>
      <c r="AQ5" s="13" t="s">
        <v>198</v>
      </c>
      <c r="AR5" s="13" t="s">
        <v>199</v>
      </c>
      <c r="AS5" s="13" t="s">
        <v>87</v>
      </c>
      <c r="AT5" s="13" t="s">
        <v>200</v>
      </c>
      <c r="AU5" s="13" t="s">
        <v>201</v>
      </c>
      <c r="AV5" s="13" t="s">
        <v>91</v>
      </c>
      <c r="AW5" s="13" t="s">
        <v>202</v>
      </c>
      <c r="AX5" s="13" t="s">
        <v>203</v>
      </c>
      <c r="AY5" s="13" t="s">
        <v>100</v>
      </c>
      <c r="AZ5" s="13" t="s">
        <v>204</v>
      </c>
      <c r="BA5" s="13" t="s">
        <v>205</v>
      </c>
      <c r="BB5" s="13" t="s">
        <v>71</v>
      </c>
      <c r="BC5" s="13" t="s">
        <v>206</v>
      </c>
      <c r="BD5" s="13" t="s">
        <v>207</v>
      </c>
      <c r="BE5" s="13"/>
      <c r="BF5" s="13"/>
      <c r="BG5" s="13"/>
      <c r="BH5" s="13"/>
      <c r="BI5" s="13"/>
      <c r="BJ5" s="13"/>
      <c r="BK5" s="13"/>
      <c r="BL5" s="13"/>
      <c r="BM5" s="13"/>
      <c r="BN5" s="13"/>
      <c r="BO5" s="13"/>
      <c r="BP5" s="13"/>
      <c r="BQ5" s="13"/>
      <c r="BR5" s="13"/>
      <c r="BS5" s="13"/>
      <c r="BT5" s="13"/>
      <c r="BU5" s="13"/>
      <c r="BV5" s="13"/>
      <c r="BW5" s="13"/>
      <c r="BX5" s="13"/>
      <c r="BY5" s="13"/>
      <c r="BZ5" s="13"/>
      <c r="CA5" s="13"/>
      <c r="CB5" s="13"/>
      <c r="CC5" s="13"/>
      <c r="CD5" s="13"/>
      <c r="CE5" s="13"/>
      <c r="CF5" s="13"/>
      <c r="CG5" s="13"/>
      <c r="CH5" s="13"/>
      <c r="CI5" s="13"/>
      <c r="CJ5" s="13"/>
    </row>
    <row r="6" spans="1:88" x14ac:dyDescent="0.2">
      <c r="A6" s="1">
        <v>203023</v>
      </c>
      <c r="B6" s="2">
        <v>44435</v>
      </c>
      <c r="C6" s="13" t="s">
        <v>86</v>
      </c>
      <c r="D6" s="1" t="s">
        <v>278</v>
      </c>
      <c r="E6" s="1" t="s">
        <v>278</v>
      </c>
      <c r="F6" s="13" t="s">
        <v>97</v>
      </c>
      <c r="G6" s="13" t="s">
        <v>132</v>
      </c>
      <c r="H6" s="13" t="s">
        <v>208</v>
      </c>
      <c r="I6" s="13" t="s">
        <v>81</v>
      </c>
      <c r="J6" s="13" t="s">
        <v>132</v>
      </c>
      <c r="K6" s="13" t="s">
        <v>209</v>
      </c>
      <c r="L6" s="13" t="s">
        <v>77</v>
      </c>
      <c r="M6" s="13" t="s">
        <v>132</v>
      </c>
      <c r="N6" s="13" t="s">
        <v>210</v>
      </c>
      <c r="O6" s="13" t="s">
        <v>83</v>
      </c>
      <c r="P6" s="13" t="s">
        <v>132</v>
      </c>
      <c r="Q6" s="13" t="s">
        <v>211</v>
      </c>
      <c r="R6" s="13" t="s">
        <v>90</v>
      </c>
      <c r="S6" s="13" t="s">
        <v>132</v>
      </c>
      <c r="T6" s="13" t="s">
        <v>212</v>
      </c>
      <c r="U6" s="13" t="s">
        <v>87</v>
      </c>
      <c r="V6" s="13" t="s">
        <v>132</v>
      </c>
      <c r="W6" s="13" t="s">
        <v>213</v>
      </c>
      <c r="X6" s="13" t="s">
        <v>71</v>
      </c>
      <c r="Y6" s="13" t="s">
        <v>132</v>
      </c>
      <c r="Z6" s="13" t="s">
        <v>214</v>
      </c>
      <c r="AA6" s="13" t="s">
        <v>77</v>
      </c>
      <c r="AB6" s="13" t="s">
        <v>215</v>
      </c>
      <c r="AC6" s="13" t="s">
        <v>216</v>
      </c>
      <c r="AD6" s="13" t="s">
        <v>90</v>
      </c>
      <c r="AE6" s="13" t="s">
        <v>217</v>
      </c>
      <c r="AF6" s="13" t="s">
        <v>218</v>
      </c>
      <c r="AG6" s="13" t="s">
        <v>71</v>
      </c>
      <c r="AH6" s="13" t="s">
        <v>219</v>
      </c>
      <c r="AI6" s="13" t="s">
        <v>220</v>
      </c>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row>
    <row r="7" spans="1:88" x14ac:dyDescent="0.2">
      <c r="A7" s="1">
        <v>203023</v>
      </c>
      <c r="B7" s="2">
        <v>44435</v>
      </c>
      <c r="C7" s="13" t="s">
        <v>112</v>
      </c>
      <c r="D7" s="1" t="s">
        <v>278</v>
      </c>
      <c r="E7" s="1" t="s">
        <v>278</v>
      </c>
      <c r="F7" s="13" t="s">
        <v>69</v>
      </c>
      <c r="G7" s="13" t="s">
        <v>221</v>
      </c>
      <c r="H7" s="13" t="s">
        <v>113</v>
      </c>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row>
    <row r="8" spans="1:88" x14ac:dyDescent="0.2">
      <c r="A8" s="1">
        <v>203023</v>
      </c>
      <c r="B8" s="2">
        <v>44435</v>
      </c>
      <c r="C8" s="13" t="s">
        <v>93</v>
      </c>
      <c r="D8" s="1" t="s">
        <v>278</v>
      </c>
      <c r="E8" s="1" t="s">
        <v>278</v>
      </c>
      <c r="F8" s="13" t="s">
        <v>90</v>
      </c>
      <c r="G8" s="13" t="s">
        <v>75</v>
      </c>
      <c r="H8" s="13" t="s">
        <v>75</v>
      </c>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row>
    <row r="9" spans="1:88" x14ac:dyDescent="0.2">
      <c r="A9" s="1">
        <v>203023</v>
      </c>
      <c r="B9" s="2">
        <v>44435</v>
      </c>
      <c r="C9" s="13" t="s">
        <v>76</v>
      </c>
      <c r="D9" s="1" t="s">
        <v>278</v>
      </c>
      <c r="E9" s="1" t="s">
        <v>278</v>
      </c>
      <c r="F9" s="13" t="s">
        <v>74</v>
      </c>
      <c r="G9" s="13" t="s">
        <v>222</v>
      </c>
      <c r="H9" s="13" t="s">
        <v>113</v>
      </c>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row>
    <row r="10" spans="1:88" x14ac:dyDescent="0.2">
      <c r="A10" s="1">
        <v>203023</v>
      </c>
      <c r="B10" s="2">
        <v>44435</v>
      </c>
      <c r="C10" s="13" t="s">
        <v>94</v>
      </c>
      <c r="D10" s="1" t="s">
        <v>278</v>
      </c>
      <c r="E10" s="1" t="s">
        <v>278</v>
      </c>
      <c r="F10" s="13" t="s">
        <v>74</v>
      </c>
      <c r="G10" s="13" t="s">
        <v>95</v>
      </c>
      <c r="H10" s="13" t="s">
        <v>95</v>
      </c>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row>
    <row r="11" spans="1:88" x14ac:dyDescent="0.2">
      <c r="A11" s="1">
        <v>203023</v>
      </c>
      <c r="B11" s="2">
        <v>44435</v>
      </c>
      <c r="C11" s="13" t="s">
        <v>68</v>
      </c>
      <c r="D11" s="1" t="s">
        <v>278</v>
      </c>
      <c r="E11" s="1" t="s">
        <v>278</v>
      </c>
      <c r="F11" s="13" t="s">
        <v>82</v>
      </c>
      <c r="G11" s="13" t="s">
        <v>223</v>
      </c>
      <c r="H11" s="13" t="s">
        <v>224</v>
      </c>
      <c r="I11" s="13" t="s">
        <v>69</v>
      </c>
      <c r="J11" s="13" t="s">
        <v>225</v>
      </c>
      <c r="K11" s="13" t="s">
        <v>226</v>
      </c>
      <c r="L11" s="13" t="s">
        <v>91</v>
      </c>
      <c r="M11" s="13" t="s">
        <v>227</v>
      </c>
      <c r="N11" s="13" t="s">
        <v>228</v>
      </c>
      <c r="O11" s="13" t="s">
        <v>82</v>
      </c>
      <c r="P11" s="13" t="s">
        <v>229</v>
      </c>
      <c r="Q11" s="13" t="s">
        <v>230</v>
      </c>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row>
    <row r="12" spans="1:88" x14ac:dyDescent="0.2">
      <c r="A12" s="1">
        <v>203023</v>
      </c>
      <c r="B12" s="2">
        <v>44435</v>
      </c>
      <c r="C12" s="13" t="s">
        <v>101</v>
      </c>
      <c r="D12" s="1" t="s">
        <v>278</v>
      </c>
      <c r="E12" s="1" t="s">
        <v>278</v>
      </c>
      <c r="F12" s="13" t="s">
        <v>81</v>
      </c>
      <c r="G12" s="13" t="s">
        <v>231</v>
      </c>
      <c r="H12" s="13" t="s">
        <v>232</v>
      </c>
      <c r="I12" s="13" t="s">
        <v>81</v>
      </c>
      <c r="J12" s="13" t="s">
        <v>233</v>
      </c>
      <c r="K12" s="13" t="s">
        <v>234</v>
      </c>
      <c r="L12" s="13" t="s">
        <v>70</v>
      </c>
      <c r="M12" s="13" t="s">
        <v>235</v>
      </c>
      <c r="N12" s="13" t="s">
        <v>236</v>
      </c>
      <c r="O12" s="13" t="s">
        <v>70</v>
      </c>
      <c r="P12" s="13" t="s">
        <v>237</v>
      </c>
      <c r="Q12" s="13" t="s">
        <v>236</v>
      </c>
      <c r="R12" s="13" t="s">
        <v>77</v>
      </c>
      <c r="S12" s="13" t="s">
        <v>238</v>
      </c>
      <c r="T12" s="13" t="s">
        <v>239</v>
      </c>
      <c r="U12" s="13" t="s">
        <v>92</v>
      </c>
      <c r="V12" s="13" t="s">
        <v>240</v>
      </c>
      <c r="W12" s="13" t="s">
        <v>236</v>
      </c>
      <c r="X12" s="13" t="s">
        <v>100</v>
      </c>
      <c r="Y12" s="13" t="s">
        <v>241</v>
      </c>
      <c r="Z12" s="13" t="s">
        <v>236</v>
      </c>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row>
    <row r="13" spans="1:88" x14ac:dyDescent="0.2">
      <c r="A13" s="1">
        <v>203023</v>
      </c>
      <c r="B13" s="2">
        <v>44435</v>
      </c>
      <c r="C13" s="13" t="s">
        <v>103</v>
      </c>
      <c r="D13" s="1" t="s">
        <v>278</v>
      </c>
      <c r="E13" s="1" t="s">
        <v>278</v>
      </c>
      <c r="F13" s="13" t="s">
        <v>100</v>
      </c>
      <c r="G13" s="13" t="s">
        <v>242</v>
      </c>
      <c r="H13" s="13" t="s">
        <v>243</v>
      </c>
      <c r="I13" s="13"/>
      <c r="J13" s="13" t="s">
        <v>75</v>
      </c>
      <c r="K13" s="13" t="s">
        <v>75</v>
      </c>
      <c r="L13" s="13"/>
      <c r="M13" s="13" t="s">
        <v>75</v>
      </c>
      <c r="N13" s="13" t="s">
        <v>75</v>
      </c>
      <c r="O13" s="13"/>
      <c r="P13" s="13" t="s">
        <v>75</v>
      </c>
      <c r="Q13" s="13" t="s">
        <v>75</v>
      </c>
      <c r="R13" s="13"/>
      <c r="S13" s="13" t="s">
        <v>75</v>
      </c>
      <c r="T13" s="13" t="s">
        <v>75</v>
      </c>
      <c r="U13" s="13"/>
      <c r="V13" s="13" t="s">
        <v>75</v>
      </c>
      <c r="W13" s="13" t="s">
        <v>75</v>
      </c>
      <c r="X13" s="13"/>
      <c r="Y13" s="13" t="s">
        <v>75</v>
      </c>
      <c r="Z13" s="13" t="s">
        <v>75</v>
      </c>
      <c r="AA13" s="13"/>
      <c r="AB13" s="13" t="s">
        <v>75</v>
      </c>
      <c r="AC13" s="13" t="s">
        <v>75</v>
      </c>
      <c r="AD13" s="13"/>
      <c r="AE13" s="13" t="s">
        <v>75</v>
      </c>
      <c r="AF13" s="13" t="s">
        <v>75</v>
      </c>
      <c r="AG13" s="13"/>
      <c r="AH13" s="13" t="s">
        <v>75</v>
      </c>
      <c r="AI13" s="13" t="s">
        <v>75</v>
      </c>
      <c r="AJ13" s="13"/>
      <c r="AK13" s="13" t="s">
        <v>75</v>
      </c>
      <c r="AL13" s="13" t="s">
        <v>75</v>
      </c>
      <c r="AM13" s="13"/>
      <c r="AN13" s="13" t="s">
        <v>75</v>
      </c>
      <c r="AO13" s="13" t="s">
        <v>75</v>
      </c>
      <c r="AP13" s="13"/>
      <c r="AQ13" s="13" t="s">
        <v>75</v>
      </c>
      <c r="AR13" s="13" t="s">
        <v>75</v>
      </c>
      <c r="AS13" s="13"/>
      <c r="AT13" s="13" t="s">
        <v>75</v>
      </c>
      <c r="AU13" s="13" t="s">
        <v>75</v>
      </c>
      <c r="AV13" s="13"/>
      <c r="AW13" s="13" t="s">
        <v>75</v>
      </c>
      <c r="AX13" s="13" t="s">
        <v>75</v>
      </c>
      <c r="AY13" s="13"/>
      <c r="AZ13" s="13" t="s">
        <v>75</v>
      </c>
      <c r="BA13" s="13" t="s">
        <v>75</v>
      </c>
      <c r="BB13" s="13"/>
      <c r="BC13" s="13" t="s">
        <v>75</v>
      </c>
      <c r="BD13" s="13" t="s">
        <v>75</v>
      </c>
      <c r="BE13" s="13"/>
      <c r="BF13" s="13" t="s">
        <v>75</v>
      </c>
      <c r="BG13" s="13" t="s">
        <v>75</v>
      </c>
      <c r="BH13" s="13"/>
      <c r="BI13" s="13" t="s">
        <v>75</v>
      </c>
      <c r="BJ13" s="13" t="s">
        <v>75</v>
      </c>
      <c r="BK13" s="13"/>
      <c r="BL13" s="13" t="s">
        <v>75</v>
      </c>
      <c r="BM13" s="13" t="s">
        <v>75</v>
      </c>
      <c r="BN13" s="13"/>
      <c r="BO13" s="13" t="s">
        <v>75</v>
      </c>
      <c r="BP13" s="13" t="s">
        <v>75</v>
      </c>
      <c r="BQ13" s="13"/>
      <c r="BR13" s="13"/>
      <c r="BS13" s="13"/>
      <c r="BT13" s="13"/>
      <c r="BU13" s="13"/>
      <c r="BV13" s="13"/>
      <c r="BW13" s="13"/>
      <c r="BX13" s="13"/>
      <c r="BY13" s="13"/>
      <c r="BZ13" s="13"/>
      <c r="CA13" s="13"/>
      <c r="CB13" s="13"/>
      <c r="CC13" s="13"/>
      <c r="CD13" s="13"/>
      <c r="CE13" s="13"/>
      <c r="CF13" s="13"/>
      <c r="CG13" s="13"/>
      <c r="CH13" s="13"/>
      <c r="CI13" s="13"/>
      <c r="CJ13" s="13"/>
    </row>
    <row r="14" spans="1:88" x14ac:dyDescent="0.2">
      <c r="A14" s="1">
        <v>203023</v>
      </c>
      <c r="B14" s="2">
        <v>44435</v>
      </c>
      <c r="C14" s="13" t="s">
        <v>102</v>
      </c>
      <c r="D14" s="1" t="s">
        <v>278</v>
      </c>
      <c r="E14" s="1" t="s">
        <v>278</v>
      </c>
      <c r="F14" s="13" t="s">
        <v>69</v>
      </c>
      <c r="G14" s="13" t="s">
        <v>244</v>
      </c>
      <c r="H14" s="13" t="s">
        <v>245</v>
      </c>
      <c r="I14" s="13" t="s">
        <v>69</v>
      </c>
      <c r="J14" s="13" t="s">
        <v>246</v>
      </c>
      <c r="K14" s="13" t="s">
        <v>247</v>
      </c>
      <c r="L14" s="13" t="s">
        <v>69</v>
      </c>
      <c r="M14" s="13" t="s">
        <v>248</v>
      </c>
      <c r="N14" s="13" t="s">
        <v>249</v>
      </c>
      <c r="O14" s="13" t="s">
        <v>69</v>
      </c>
      <c r="P14" s="13" t="s">
        <v>250</v>
      </c>
      <c r="Q14" s="13" t="s">
        <v>251</v>
      </c>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row>
    <row r="15" spans="1:88" x14ac:dyDescent="0.2">
      <c r="A15" s="1">
        <v>203023</v>
      </c>
      <c r="B15" s="2">
        <v>44435</v>
      </c>
      <c r="C15" s="13" t="s">
        <v>73</v>
      </c>
      <c r="D15" s="1" t="s">
        <v>278</v>
      </c>
      <c r="E15" s="1" t="s">
        <v>278</v>
      </c>
      <c r="F15" s="13" t="s">
        <v>74</v>
      </c>
      <c r="G15" s="13" t="s">
        <v>252</v>
      </c>
      <c r="H15" s="13" t="s">
        <v>75</v>
      </c>
      <c r="I15" s="13" t="s">
        <v>74</v>
      </c>
      <c r="J15" s="13" t="s">
        <v>253</v>
      </c>
      <c r="K15" s="13" t="s">
        <v>75</v>
      </c>
      <c r="L15" s="13" t="s">
        <v>74</v>
      </c>
      <c r="M15" s="13" t="s">
        <v>254</v>
      </c>
      <c r="N15" s="13" t="s">
        <v>75</v>
      </c>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row>
    <row r="16" spans="1:88" x14ac:dyDescent="0.2">
      <c r="A16" s="1">
        <v>203023</v>
      </c>
      <c r="B16" s="2">
        <v>44435</v>
      </c>
      <c r="C16" s="13" t="s">
        <v>106</v>
      </c>
      <c r="D16" s="1" t="s">
        <v>278</v>
      </c>
      <c r="E16" s="1" t="s">
        <v>278</v>
      </c>
      <c r="F16" s="13" t="s">
        <v>89</v>
      </c>
      <c r="G16" s="13" t="s">
        <v>255</v>
      </c>
      <c r="H16" s="13" t="s">
        <v>256</v>
      </c>
      <c r="I16" s="13" t="s">
        <v>74</v>
      </c>
      <c r="J16" s="13" t="s">
        <v>257</v>
      </c>
      <c r="K16" s="13" t="s">
        <v>258</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row>
    <row r="17" spans="1:88" x14ac:dyDescent="0.2">
      <c r="A17" s="1">
        <v>203023</v>
      </c>
      <c r="B17" s="2">
        <v>44435</v>
      </c>
      <c r="C17" s="13" t="s">
        <v>104</v>
      </c>
      <c r="D17" s="1" t="s">
        <v>278</v>
      </c>
      <c r="E17" s="1" t="s">
        <v>278</v>
      </c>
      <c r="F17" s="13" t="s">
        <v>85</v>
      </c>
      <c r="G17" s="13" t="s">
        <v>259</v>
      </c>
      <c r="H17" s="13" t="s">
        <v>259</v>
      </c>
      <c r="I17" s="13"/>
      <c r="J17" s="13" t="s">
        <v>260</v>
      </c>
      <c r="K17" s="13" t="s">
        <v>260</v>
      </c>
      <c r="L17" s="13" t="s">
        <v>91</v>
      </c>
      <c r="M17" s="13" t="s">
        <v>261</v>
      </c>
      <c r="N17" s="13" t="s">
        <v>261</v>
      </c>
      <c r="O17" s="13" t="s">
        <v>87</v>
      </c>
      <c r="P17" s="13" t="s">
        <v>262</v>
      </c>
      <c r="Q17" s="13" t="s">
        <v>262</v>
      </c>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row>
    <row r="18" spans="1:88" x14ac:dyDescent="0.2">
      <c r="A18" s="1">
        <v>203023</v>
      </c>
      <c r="B18" s="2">
        <v>44435</v>
      </c>
      <c r="C18" s="13" t="s">
        <v>117</v>
      </c>
      <c r="D18" s="1" t="s">
        <v>278</v>
      </c>
      <c r="E18" s="1" t="s">
        <v>278</v>
      </c>
      <c r="F18" s="13" t="s">
        <v>77</v>
      </c>
      <c r="G18" s="13" t="s">
        <v>263</v>
      </c>
      <c r="H18" s="13" t="s">
        <v>75</v>
      </c>
      <c r="I18" s="13" t="s">
        <v>98</v>
      </c>
      <c r="J18" s="13" t="s">
        <v>264</v>
      </c>
      <c r="K18" s="13" t="s">
        <v>75</v>
      </c>
      <c r="L18" s="13" t="s">
        <v>92</v>
      </c>
      <c r="M18" s="13" t="s">
        <v>265</v>
      </c>
      <c r="N18" s="13" t="s">
        <v>75</v>
      </c>
      <c r="O18" s="13" t="s">
        <v>91</v>
      </c>
      <c r="P18" s="13" t="s">
        <v>266</v>
      </c>
      <c r="Q18" s="13" t="s">
        <v>75</v>
      </c>
      <c r="R18" s="13" t="s">
        <v>74</v>
      </c>
      <c r="S18" s="13" t="s">
        <v>267</v>
      </c>
      <c r="T18" s="13" t="s">
        <v>75</v>
      </c>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row>
    <row r="19" spans="1:88" x14ac:dyDescent="0.2">
      <c r="A19" s="1">
        <v>203023</v>
      </c>
      <c r="B19" s="2">
        <v>44435</v>
      </c>
      <c r="C19" s="13" t="s">
        <v>114</v>
      </c>
      <c r="D19" s="1" t="s">
        <v>278</v>
      </c>
      <c r="E19" s="1" t="s">
        <v>278</v>
      </c>
      <c r="F19" s="13" t="s">
        <v>74</v>
      </c>
      <c r="G19" s="13" t="s">
        <v>113</v>
      </c>
      <c r="H19" s="13" t="s">
        <v>113</v>
      </c>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row>
    <row r="20" spans="1:88" x14ac:dyDescent="0.2">
      <c r="A20" s="1">
        <v>203023</v>
      </c>
      <c r="B20" s="2">
        <v>44435</v>
      </c>
      <c r="C20" s="13" t="s">
        <v>107</v>
      </c>
      <c r="D20" s="1" t="s">
        <v>278</v>
      </c>
      <c r="E20" s="1" t="s">
        <v>278</v>
      </c>
      <c r="F20" s="13" t="s">
        <v>92</v>
      </c>
      <c r="G20" s="13" t="s">
        <v>130</v>
      </c>
      <c r="H20" s="13" t="s">
        <v>131</v>
      </c>
      <c r="I20" s="13" t="s">
        <v>79</v>
      </c>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row>
    <row r="21" spans="1:88" ht="15.75" customHeight="1" x14ac:dyDescent="0.2">
      <c r="A21" s="1">
        <v>203023</v>
      </c>
      <c r="B21" s="2">
        <v>44435</v>
      </c>
      <c r="C21" s="13" t="s">
        <v>115</v>
      </c>
      <c r="D21" s="1" t="s">
        <v>278</v>
      </c>
      <c r="E21" s="1" t="s">
        <v>278</v>
      </c>
      <c r="F21" s="13" t="s">
        <v>71</v>
      </c>
      <c r="G21" s="13" t="s">
        <v>268</v>
      </c>
      <c r="H21" s="13" t="s">
        <v>116</v>
      </c>
      <c r="I21" s="13" t="s">
        <v>69</v>
      </c>
      <c r="J21" s="13" t="s">
        <v>269</v>
      </c>
      <c r="K21" s="13" t="s">
        <v>116</v>
      </c>
      <c r="L21" s="13" t="s">
        <v>74</v>
      </c>
      <c r="M21" s="13" t="s">
        <v>270</v>
      </c>
      <c r="N21" s="13" t="s">
        <v>116</v>
      </c>
      <c r="O21" s="13" t="s">
        <v>69</v>
      </c>
      <c r="P21" s="13" t="s">
        <v>271</v>
      </c>
      <c r="Q21" s="13" t="s">
        <v>116</v>
      </c>
      <c r="R21" s="13" t="s">
        <v>81</v>
      </c>
      <c r="S21" s="13" t="s">
        <v>272</v>
      </c>
      <c r="T21" s="13" t="s">
        <v>116</v>
      </c>
      <c r="U21" s="13" t="s">
        <v>85</v>
      </c>
      <c r="V21" s="13" t="s">
        <v>273</v>
      </c>
      <c r="W21" s="13" t="s">
        <v>116</v>
      </c>
      <c r="X21" s="13" t="s">
        <v>70</v>
      </c>
      <c r="Y21" s="13" t="s">
        <v>274</v>
      </c>
      <c r="Z21" s="13" t="s">
        <v>116</v>
      </c>
      <c r="AA21" s="13" t="s">
        <v>69</v>
      </c>
      <c r="AB21" s="13" t="s">
        <v>275</v>
      </c>
      <c r="AC21" s="13" t="s">
        <v>116</v>
      </c>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row>
    <row r="22" spans="1:88" ht="15.75" customHeight="1" x14ac:dyDescent="0.2">
      <c r="A22" s="1">
        <v>203023</v>
      </c>
      <c r="B22" s="2">
        <v>44435</v>
      </c>
      <c r="C22" s="13" t="s">
        <v>118</v>
      </c>
      <c r="D22" s="1" t="s">
        <v>278</v>
      </c>
      <c r="E22" s="1" t="s">
        <v>278</v>
      </c>
      <c r="F22" s="13" t="s">
        <v>81</v>
      </c>
      <c r="G22" s="13" t="s">
        <v>276</v>
      </c>
      <c r="H22" s="13" t="s">
        <v>133</v>
      </c>
      <c r="I22" s="13" t="s">
        <v>90</v>
      </c>
      <c r="J22" s="13" t="s">
        <v>276</v>
      </c>
      <c r="K22" s="13" t="s">
        <v>133</v>
      </c>
      <c r="L22" s="13" t="s">
        <v>99</v>
      </c>
      <c r="M22" s="13" t="s">
        <v>276</v>
      </c>
      <c r="N22" s="13"/>
      <c r="O22" s="13" t="s">
        <v>74</v>
      </c>
      <c r="P22" s="13" t="s">
        <v>276</v>
      </c>
      <c r="Q22" s="13"/>
      <c r="R22" s="13" t="s">
        <v>70</v>
      </c>
      <c r="S22" s="13" t="s">
        <v>276</v>
      </c>
      <c r="T22" s="13"/>
      <c r="U22" s="13" t="s">
        <v>69</v>
      </c>
      <c r="V22" s="13" t="s">
        <v>276</v>
      </c>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row>
    <row r="23" spans="1:88" ht="15.75" customHeight="1" x14ac:dyDescent="0.2"/>
    <row r="24" spans="1:88" ht="15.75" customHeight="1" x14ac:dyDescent="0.2"/>
    <row r="25" spans="1:88" ht="15.75" customHeight="1" x14ac:dyDescent="0.2"/>
    <row r="26" spans="1:88" ht="15.75" customHeight="1" x14ac:dyDescent="0.2"/>
    <row r="27" spans="1:88" ht="15.75" customHeight="1" x14ac:dyDescent="0.2"/>
    <row r="28" spans="1:88" ht="15.75" customHeight="1" x14ac:dyDescent="0.2"/>
    <row r="29" spans="1:88" ht="15.75" customHeight="1" x14ac:dyDescent="0.2"/>
    <row r="30" spans="1:88" ht="15.75" customHeight="1" x14ac:dyDescent="0.2"/>
    <row r="31" spans="1:88" ht="15.75" customHeight="1" x14ac:dyDescent="0.2"/>
    <row r="32" spans="1:88"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sheetData>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H250"/>
  <sheetViews>
    <sheetView workbookViewId="0">
      <pane ySplit="1" topLeftCell="A35" activePane="bottomLeft" state="frozen"/>
      <selection pane="bottomLeft" activeCell="D139" sqref="D139:D140"/>
    </sheetView>
  </sheetViews>
  <sheetFormatPr baseColWidth="10" defaultColWidth="11.5" defaultRowHeight="15" x14ac:dyDescent="0.2"/>
  <cols>
    <col min="1" max="1" width="11.5" style="1"/>
    <col min="2" max="2" width="23" style="1" customWidth="1"/>
    <col min="3" max="3" width="40.83203125" style="1" customWidth="1"/>
    <col min="4" max="4" width="41" style="1" customWidth="1"/>
    <col min="5" max="5" width="38.5" style="1" bestFit="1" customWidth="1"/>
    <col min="6" max="6" width="26.1640625" style="1" bestFit="1" customWidth="1"/>
    <col min="7" max="7" width="31.33203125" style="1" customWidth="1"/>
    <col min="8" max="8" width="49.5" style="1" customWidth="1"/>
    <col min="9" max="16384" width="11.5" style="1"/>
  </cols>
  <sheetData>
    <row r="1" spans="1:8" s="7" customFormat="1" x14ac:dyDescent="0.2">
      <c r="A1" s="8" t="s">
        <v>120</v>
      </c>
      <c r="B1" s="8" t="s">
        <v>121</v>
      </c>
      <c r="C1" s="8" t="s">
        <v>122</v>
      </c>
      <c r="D1" s="8" t="s">
        <v>125</v>
      </c>
      <c r="E1" s="8" t="s">
        <v>126</v>
      </c>
      <c r="F1" s="8" t="s">
        <v>119</v>
      </c>
      <c r="G1" s="8" t="s">
        <v>123</v>
      </c>
      <c r="H1" s="8" t="s">
        <v>124</v>
      </c>
    </row>
    <row r="2" spans="1:8" ht="240" x14ac:dyDescent="0.2">
      <c r="A2" s="1">
        <v>203023</v>
      </c>
      <c r="B2" s="1" t="s">
        <v>277</v>
      </c>
      <c r="C2" s="1" t="s">
        <v>88</v>
      </c>
      <c r="D2" s="1" t="s">
        <v>278</v>
      </c>
      <c r="E2" s="1" t="s">
        <v>278</v>
      </c>
      <c r="F2" s="4" t="s">
        <v>83</v>
      </c>
      <c r="G2" s="4" t="s">
        <v>134</v>
      </c>
      <c r="H2" s="4" t="s">
        <v>135</v>
      </c>
    </row>
    <row r="3" spans="1:8" ht="144" x14ac:dyDescent="0.2">
      <c r="A3" s="1">
        <v>203023</v>
      </c>
      <c r="B3" s="1" t="s">
        <v>277</v>
      </c>
      <c r="C3" s="1" t="s">
        <v>88</v>
      </c>
      <c r="D3" s="1" t="s">
        <v>278</v>
      </c>
      <c r="E3" s="1" t="s">
        <v>278</v>
      </c>
      <c r="F3" s="4" t="s">
        <v>69</v>
      </c>
      <c r="G3" s="4" t="s">
        <v>136</v>
      </c>
      <c r="H3" s="4" t="s">
        <v>137</v>
      </c>
    </row>
    <row r="4" spans="1:8" ht="80" x14ac:dyDescent="0.2">
      <c r="A4" s="1">
        <v>203023</v>
      </c>
      <c r="B4" s="1" t="s">
        <v>277</v>
      </c>
      <c r="C4" s="1" t="s">
        <v>88</v>
      </c>
      <c r="D4" s="1" t="s">
        <v>278</v>
      </c>
      <c r="E4" s="1" t="s">
        <v>278</v>
      </c>
      <c r="F4" s="4" t="s">
        <v>100</v>
      </c>
      <c r="G4" s="4" t="s">
        <v>138</v>
      </c>
      <c r="H4" s="4" t="s">
        <v>139</v>
      </c>
    </row>
    <row r="5" spans="1:8" ht="48" x14ac:dyDescent="0.2">
      <c r="A5" s="1">
        <v>203023</v>
      </c>
      <c r="B5" s="1" t="s">
        <v>277</v>
      </c>
      <c r="C5" s="1" t="s">
        <v>88</v>
      </c>
      <c r="D5" s="1" t="s">
        <v>278</v>
      </c>
      <c r="E5" s="1" t="s">
        <v>278</v>
      </c>
      <c r="F5" s="4" t="s">
        <v>85</v>
      </c>
      <c r="G5" s="4" t="s">
        <v>140</v>
      </c>
      <c r="H5" s="4"/>
    </row>
    <row r="6" spans="1:8" ht="64" x14ac:dyDescent="0.2">
      <c r="A6" s="1">
        <v>203023</v>
      </c>
      <c r="B6" s="1" t="s">
        <v>277</v>
      </c>
      <c r="C6" s="1" t="s">
        <v>88</v>
      </c>
      <c r="D6" s="1" t="s">
        <v>278</v>
      </c>
      <c r="E6" s="1" t="s">
        <v>278</v>
      </c>
      <c r="F6" s="4" t="s">
        <v>90</v>
      </c>
      <c r="G6" s="4" t="s">
        <v>141</v>
      </c>
      <c r="H6" s="1" t="s">
        <v>142</v>
      </c>
    </row>
    <row r="7" spans="1:8" ht="144" x14ac:dyDescent="0.2">
      <c r="A7" s="1">
        <v>203023</v>
      </c>
      <c r="B7" s="1" t="s">
        <v>277</v>
      </c>
      <c r="C7" s="1" t="s">
        <v>88</v>
      </c>
      <c r="D7" s="1" t="s">
        <v>278</v>
      </c>
      <c r="E7" s="1" t="s">
        <v>278</v>
      </c>
      <c r="F7" s="1" t="s">
        <v>92</v>
      </c>
      <c r="G7" s="4" t="s">
        <v>143</v>
      </c>
    </row>
    <row r="8" spans="1:8" ht="64" x14ac:dyDescent="0.2">
      <c r="A8" s="1">
        <v>203023</v>
      </c>
      <c r="B8" s="1" t="s">
        <v>277</v>
      </c>
      <c r="C8" s="1" t="s">
        <v>88</v>
      </c>
      <c r="D8" s="1" t="s">
        <v>278</v>
      </c>
      <c r="E8" s="1" t="s">
        <v>278</v>
      </c>
      <c r="F8" s="1" t="s">
        <v>97</v>
      </c>
      <c r="G8" s="4" t="s">
        <v>144</v>
      </c>
      <c r="H8" s="1" t="s">
        <v>145</v>
      </c>
    </row>
    <row r="9" spans="1:8" ht="48" x14ac:dyDescent="0.2">
      <c r="A9" s="1">
        <v>203023</v>
      </c>
      <c r="B9" s="1" t="s">
        <v>277</v>
      </c>
      <c r="C9" s="1" t="s">
        <v>88</v>
      </c>
      <c r="D9" s="1" t="s">
        <v>278</v>
      </c>
      <c r="E9" s="1" t="s">
        <v>278</v>
      </c>
      <c r="F9" s="4" t="s">
        <v>89</v>
      </c>
      <c r="G9" s="4" t="s">
        <v>146</v>
      </c>
      <c r="H9" s="1" t="s">
        <v>147</v>
      </c>
    </row>
    <row r="10" spans="1:8" ht="96" x14ac:dyDescent="0.2">
      <c r="A10" s="1">
        <v>203023</v>
      </c>
      <c r="B10" s="1" t="s">
        <v>277</v>
      </c>
      <c r="C10" s="1" t="s">
        <v>88</v>
      </c>
      <c r="D10" s="1" t="s">
        <v>278</v>
      </c>
      <c r="E10" s="1" t="s">
        <v>278</v>
      </c>
      <c r="F10" s="4" t="s">
        <v>82</v>
      </c>
      <c r="G10" s="4" t="s">
        <v>148</v>
      </c>
      <c r="H10" s="1" t="s">
        <v>149</v>
      </c>
    </row>
    <row r="11" spans="1:8" ht="96" x14ac:dyDescent="0.2">
      <c r="A11" s="1">
        <v>203023</v>
      </c>
      <c r="B11" s="1" t="s">
        <v>277</v>
      </c>
      <c r="C11" s="1" t="s">
        <v>88</v>
      </c>
      <c r="D11" s="1" t="s">
        <v>278</v>
      </c>
      <c r="E11" s="1" t="s">
        <v>278</v>
      </c>
      <c r="F11" s="4" t="s">
        <v>69</v>
      </c>
      <c r="G11" s="4" t="s">
        <v>150</v>
      </c>
      <c r="H11" s="1" t="s">
        <v>151</v>
      </c>
    </row>
    <row r="12" spans="1:8" ht="48" x14ac:dyDescent="0.2">
      <c r="A12" s="1">
        <v>203023</v>
      </c>
      <c r="B12" s="1" t="s">
        <v>277</v>
      </c>
      <c r="C12" s="1" t="s">
        <v>88</v>
      </c>
      <c r="D12" s="1" t="s">
        <v>278</v>
      </c>
      <c r="E12" s="1" t="s">
        <v>278</v>
      </c>
      <c r="F12" s="4" t="s">
        <v>79</v>
      </c>
      <c r="G12" s="4" t="s">
        <v>152</v>
      </c>
      <c r="H12" s="1" t="s">
        <v>147</v>
      </c>
    </row>
    <row r="13" spans="1:8" ht="32" x14ac:dyDescent="0.2">
      <c r="A13" s="1">
        <v>203023</v>
      </c>
      <c r="B13" s="1" t="s">
        <v>277</v>
      </c>
      <c r="C13" s="1" t="s">
        <v>88</v>
      </c>
      <c r="D13" s="1" t="s">
        <v>278</v>
      </c>
      <c r="E13" s="1" t="s">
        <v>278</v>
      </c>
      <c r="F13" s="4" t="s">
        <v>91</v>
      </c>
      <c r="G13" s="4" t="s">
        <v>153</v>
      </c>
      <c r="H13" s="1" t="s">
        <v>154</v>
      </c>
    </row>
    <row r="14" spans="1:8" ht="32" x14ac:dyDescent="0.2">
      <c r="A14" s="1">
        <v>203023</v>
      </c>
      <c r="B14" s="1" t="s">
        <v>277</v>
      </c>
      <c r="C14" s="1" t="s">
        <v>88</v>
      </c>
      <c r="D14" s="1" t="s">
        <v>278</v>
      </c>
      <c r="E14" s="1" t="s">
        <v>278</v>
      </c>
      <c r="F14" s="4" t="s">
        <v>91</v>
      </c>
      <c r="G14" s="4" t="s">
        <v>155</v>
      </c>
      <c r="H14" s="1" t="s">
        <v>156</v>
      </c>
    </row>
    <row r="15" spans="1:8" ht="48" x14ac:dyDescent="0.2">
      <c r="A15" s="1">
        <v>203023</v>
      </c>
      <c r="B15" s="1" t="s">
        <v>277</v>
      </c>
      <c r="C15" s="1" t="s">
        <v>109</v>
      </c>
      <c r="D15" s="1" t="s">
        <v>278</v>
      </c>
      <c r="E15" s="1" t="s">
        <v>278</v>
      </c>
      <c r="F15" s="4" t="s">
        <v>71</v>
      </c>
      <c r="G15" s="4" t="s">
        <v>157</v>
      </c>
      <c r="H15" s="1" t="s">
        <v>158</v>
      </c>
    </row>
    <row r="16" spans="1:8" ht="96" x14ac:dyDescent="0.2">
      <c r="A16" s="1">
        <v>203023</v>
      </c>
      <c r="B16" s="1" t="s">
        <v>277</v>
      </c>
      <c r="C16" s="1" t="s">
        <v>109</v>
      </c>
      <c r="D16" s="1" t="s">
        <v>278</v>
      </c>
      <c r="E16" s="1" t="s">
        <v>278</v>
      </c>
      <c r="F16" s="4" t="s">
        <v>71</v>
      </c>
      <c r="G16" s="4" t="s">
        <v>159</v>
      </c>
    </row>
    <row r="17" spans="1:8" ht="48" x14ac:dyDescent="0.2">
      <c r="A17" s="1">
        <v>203023</v>
      </c>
      <c r="B17" s="1" t="s">
        <v>277</v>
      </c>
      <c r="C17" s="1" t="s">
        <v>109</v>
      </c>
      <c r="D17" s="1" t="s">
        <v>278</v>
      </c>
      <c r="E17" s="1" t="s">
        <v>278</v>
      </c>
      <c r="F17" s="4" t="s">
        <v>92</v>
      </c>
      <c r="G17" s="4" t="s">
        <v>160</v>
      </c>
      <c r="H17" s="1" t="s">
        <v>161</v>
      </c>
    </row>
    <row r="18" spans="1:8" ht="96" x14ac:dyDescent="0.2">
      <c r="A18" s="1">
        <v>203023</v>
      </c>
      <c r="B18" s="1" t="s">
        <v>277</v>
      </c>
      <c r="C18" s="1" t="s">
        <v>109</v>
      </c>
      <c r="D18" s="1" t="s">
        <v>278</v>
      </c>
      <c r="E18" s="1" t="s">
        <v>278</v>
      </c>
      <c r="F18" s="4" t="s">
        <v>69</v>
      </c>
      <c r="G18" s="4" t="s">
        <v>162</v>
      </c>
      <c r="H18" s="4" t="s">
        <v>163</v>
      </c>
    </row>
    <row r="19" spans="1:8" ht="80" x14ac:dyDescent="0.2">
      <c r="A19" s="1">
        <v>203023</v>
      </c>
      <c r="B19" s="1" t="s">
        <v>277</v>
      </c>
      <c r="C19" s="1" t="s">
        <v>109</v>
      </c>
      <c r="D19" s="1" t="s">
        <v>278</v>
      </c>
      <c r="E19" s="1" t="s">
        <v>278</v>
      </c>
      <c r="F19" s="4" t="s">
        <v>100</v>
      </c>
      <c r="G19" s="4" t="s">
        <v>164</v>
      </c>
      <c r="H19" s="4" t="s">
        <v>165</v>
      </c>
    </row>
    <row r="20" spans="1:8" ht="80" x14ac:dyDescent="0.2">
      <c r="A20" s="1">
        <v>203023</v>
      </c>
      <c r="B20" s="1" t="s">
        <v>277</v>
      </c>
      <c r="C20" s="1" t="s">
        <v>78</v>
      </c>
      <c r="D20" s="1" t="s">
        <v>278</v>
      </c>
      <c r="E20" s="1" t="s">
        <v>278</v>
      </c>
      <c r="F20" s="4" t="s">
        <v>81</v>
      </c>
      <c r="G20" s="4" t="s">
        <v>166</v>
      </c>
      <c r="H20" s="1" t="s">
        <v>84</v>
      </c>
    </row>
    <row r="21" spans="1:8" ht="112" x14ac:dyDescent="0.2">
      <c r="A21" s="1">
        <v>203023</v>
      </c>
      <c r="B21" s="1" t="s">
        <v>277</v>
      </c>
      <c r="C21" s="1" t="s">
        <v>78</v>
      </c>
      <c r="D21" s="1" t="s">
        <v>278</v>
      </c>
      <c r="E21" s="1" t="s">
        <v>278</v>
      </c>
      <c r="F21" s="4" t="s">
        <v>77</v>
      </c>
      <c r="G21" s="4" t="s">
        <v>167</v>
      </c>
      <c r="H21" s="1" t="s">
        <v>168</v>
      </c>
    </row>
    <row r="22" spans="1:8" ht="112" x14ac:dyDescent="0.2">
      <c r="A22" s="1">
        <v>203023</v>
      </c>
      <c r="B22" s="1" t="s">
        <v>277</v>
      </c>
      <c r="C22" s="1" t="s">
        <v>78</v>
      </c>
      <c r="D22" s="1" t="s">
        <v>278</v>
      </c>
      <c r="E22" s="1" t="s">
        <v>278</v>
      </c>
      <c r="F22" s="4" t="s">
        <v>100</v>
      </c>
      <c r="G22" s="4" t="s">
        <v>169</v>
      </c>
      <c r="H22" s="1" t="s">
        <v>80</v>
      </c>
    </row>
    <row r="23" spans="1:8" ht="160" x14ac:dyDescent="0.2">
      <c r="A23" s="1">
        <v>203023</v>
      </c>
      <c r="B23" s="1" t="s">
        <v>277</v>
      </c>
      <c r="C23" s="1" t="s">
        <v>78</v>
      </c>
      <c r="D23" s="1" t="s">
        <v>278</v>
      </c>
      <c r="E23" s="1" t="s">
        <v>278</v>
      </c>
      <c r="F23" s="4" t="s">
        <v>97</v>
      </c>
      <c r="G23" s="4" t="s">
        <v>170</v>
      </c>
      <c r="H23" s="4" t="s">
        <v>171</v>
      </c>
    </row>
    <row r="24" spans="1:8" ht="16" x14ac:dyDescent="0.2">
      <c r="A24" s="1">
        <v>203023</v>
      </c>
      <c r="B24" s="1" t="s">
        <v>277</v>
      </c>
      <c r="C24" s="1" t="s">
        <v>78</v>
      </c>
      <c r="D24" s="1" t="s">
        <v>278</v>
      </c>
      <c r="E24" s="1" t="s">
        <v>278</v>
      </c>
      <c r="F24" s="1" t="s">
        <v>83</v>
      </c>
      <c r="G24" s="1" t="s">
        <v>174</v>
      </c>
      <c r="H24" s="4" t="s">
        <v>80</v>
      </c>
    </row>
    <row r="25" spans="1:8" ht="144" x14ac:dyDescent="0.2">
      <c r="A25" s="1">
        <v>203023</v>
      </c>
      <c r="B25" s="1" t="s">
        <v>277</v>
      </c>
      <c r="C25" s="1" t="s">
        <v>96</v>
      </c>
      <c r="D25" s="1" t="s">
        <v>278</v>
      </c>
      <c r="E25" s="1" t="s">
        <v>278</v>
      </c>
      <c r="F25" s="1" t="s">
        <v>74</v>
      </c>
      <c r="G25" s="1" t="s">
        <v>175</v>
      </c>
      <c r="H25" s="4" t="s">
        <v>176</v>
      </c>
    </row>
    <row r="26" spans="1:8" ht="96" x14ac:dyDescent="0.2">
      <c r="A26" s="1">
        <v>203023</v>
      </c>
      <c r="B26" s="1" t="s">
        <v>277</v>
      </c>
      <c r="C26" s="1" t="s">
        <v>96</v>
      </c>
      <c r="D26" s="1" t="s">
        <v>278</v>
      </c>
      <c r="E26" s="1" t="s">
        <v>278</v>
      </c>
      <c r="F26" s="4" t="s">
        <v>97</v>
      </c>
      <c r="G26" s="1" t="s">
        <v>177</v>
      </c>
      <c r="H26" s="4" t="s">
        <v>178</v>
      </c>
    </row>
    <row r="27" spans="1:8" ht="160" x14ac:dyDescent="0.2">
      <c r="A27" s="1">
        <v>203023</v>
      </c>
      <c r="B27" s="1" t="s">
        <v>277</v>
      </c>
      <c r="C27" s="1" t="s">
        <v>96</v>
      </c>
      <c r="D27" s="1" t="s">
        <v>278</v>
      </c>
      <c r="E27" s="1" t="s">
        <v>278</v>
      </c>
      <c r="F27" s="1" t="s">
        <v>89</v>
      </c>
      <c r="G27" s="4" t="s">
        <v>179</v>
      </c>
      <c r="H27" s="4" t="s">
        <v>180</v>
      </c>
    </row>
    <row r="28" spans="1:8" ht="350" x14ac:dyDescent="0.2">
      <c r="A28" s="1">
        <v>203023</v>
      </c>
      <c r="B28" s="1" t="s">
        <v>277</v>
      </c>
      <c r="C28" s="1" t="s">
        <v>96</v>
      </c>
      <c r="D28" s="1" t="s">
        <v>278</v>
      </c>
      <c r="E28" s="1" t="s">
        <v>278</v>
      </c>
      <c r="F28" s="1" t="s">
        <v>81</v>
      </c>
      <c r="G28" s="4" t="s">
        <v>181</v>
      </c>
      <c r="H28" s="4" t="s">
        <v>182</v>
      </c>
    </row>
    <row r="29" spans="1:8" ht="409.6" x14ac:dyDescent="0.2">
      <c r="A29" s="1">
        <v>203023</v>
      </c>
      <c r="B29" s="1" t="s">
        <v>277</v>
      </c>
      <c r="C29" s="1" t="s">
        <v>96</v>
      </c>
      <c r="D29" s="1" t="s">
        <v>278</v>
      </c>
      <c r="E29" s="1" t="s">
        <v>278</v>
      </c>
      <c r="F29" s="1" t="s">
        <v>85</v>
      </c>
      <c r="G29" s="4" t="s">
        <v>183</v>
      </c>
      <c r="H29" s="1" t="s">
        <v>184</v>
      </c>
    </row>
    <row r="30" spans="1:8" ht="409.6" x14ac:dyDescent="0.2">
      <c r="A30" s="1">
        <v>203023</v>
      </c>
      <c r="B30" s="1" t="s">
        <v>277</v>
      </c>
      <c r="C30" s="1" t="s">
        <v>96</v>
      </c>
      <c r="D30" s="1" t="s">
        <v>278</v>
      </c>
      <c r="E30" s="1" t="s">
        <v>278</v>
      </c>
      <c r="F30" s="1" t="s">
        <v>70</v>
      </c>
      <c r="G30" s="4" t="s">
        <v>185</v>
      </c>
      <c r="H30" s="4" t="s">
        <v>186</v>
      </c>
    </row>
    <row r="31" spans="1:8" ht="320" x14ac:dyDescent="0.2">
      <c r="A31" s="1">
        <v>203023</v>
      </c>
      <c r="B31" s="1" t="s">
        <v>277</v>
      </c>
      <c r="C31" s="1" t="s">
        <v>96</v>
      </c>
      <c r="D31" s="1" t="s">
        <v>278</v>
      </c>
      <c r="E31" s="1" t="s">
        <v>278</v>
      </c>
      <c r="F31" s="4" t="s">
        <v>77</v>
      </c>
      <c r="G31" s="4" t="s">
        <v>187</v>
      </c>
      <c r="H31" s="4" t="s">
        <v>188</v>
      </c>
    </row>
    <row r="32" spans="1:8" ht="256" x14ac:dyDescent="0.2">
      <c r="A32" s="1">
        <v>203023</v>
      </c>
      <c r="B32" s="1" t="s">
        <v>277</v>
      </c>
      <c r="C32" s="1" t="s">
        <v>96</v>
      </c>
      <c r="D32" s="1" t="s">
        <v>278</v>
      </c>
      <c r="E32" s="1" t="s">
        <v>278</v>
      </c>
      <c r="F32" s="1" t="s">
        <v>83</v>
      </c>
      <c r="G32" s="4" t="s">
        <v>189</v>
      </c>
      <c r="H32" s="4" t="s">
        <v>190</v>
      </c>
    </row>
    <row r="33" spans="1:8" ht="409.6" x14ac:dyDescent="0.2">
      <c r="A33" s="1">
        <v>203023</v>
      </c>
      <c r="B33" s="1" t="s">
        <v>277</v>
      </c>
      <c r="C33" s="1" t="s">
        <v>96</v>
      </c>
      <c r="D33" s="1" t="s">
        <v>278</v>
      </c>
      <c r="E33" s="1" t="s">
        <v>278</v>
      </c>
      <c r="F33" s="1" t="s">
        <v>69</v>
      </c>
      <c r="G33" s="4" t="s">
        <v>191</v>
      </c>
      <c r="H33" s="4" t="s">
        <v>192</v>
      </c>
    </row>
    <row r="34" spans="1:8" ht="409.6" x14ac:dyDescent="0.2">
      <c r="A34" s="1">
        <v>203023</v>
      </c>
      <c r="B34" s="1" t="s">
        <v>277</v>
      </c>
      <c r="C34" s="1" t="s">
        <v>96</v>
      </c>
      <c r="D34" s="1" t="s">
        <v>278</v>
      </c>
      <c r="E34" s="1" t="s">
        <v>278</v>
      </c>
      <c r="F34" s="4" t="s">
        <v>82</v>
      </c>
      <c r="G34" s="4" t="s">
        <v>193</v>
      </c>
      <c r="H34" s="4"/>
    </row>
    <row r="35" spans="1:8" ht="160" x14ac:dyDescent="0.2">
      <c r="A35" s="1">
        <v>203023</v>
      </c>
      <c r="B35" s="1" t="s">
        <v>277</v>
      </c>
      <c r="C35" s="1" t="s">
        <v>96</v>
      </c>
      <c r="D35" s="1" t="s">
        <v>278</v>
      </c>
      <c r="E35" s="1" t="s">
        <v>278</v>
      </c>
      <c r="F35" s="4" t="s">
        <v>98</v>
      </c>
      <c r="G35" s="4" t="s">
        <v>194</v>
      </c>
      <c r="H35" s="4" t="s">
        <v>195</v>
      </c>
    </row>
    <row r="36" spans="1:8" ht="409.6" x14ac:dyDescent="0.2">
      <c r="A36" s="1">
        <v>203023</v>
      </c>
      <c r="B36" s="1" t="s">
        <v>277</v>
      </c>
      <c r="C36" s="1" t="s">
        <v>96</v>
      </c>
      <c r="D36" s="1" t="s">
        <v>278</v>
      </c>
      <c r="E36" s="1" t="s">
        <v>278</v>
      </c>
      <c r="F36" s="4" t="s">
        <v>72</v>
      </c>
      <c r="G36" s="4" t="s">
        <v>196</v>
      </c>
      <c r="H36" s="4" t="s">
        <v>197</v>
      </c>
    </row>
    <row r="37" spans="1:8" ht="409.6" x14ac:dyDescent="0.2">
      <c r="A37" s="1">
        <v>203023</v>
      </c>
      <c r="B37" s="1" t="s">
        <v>277</v>
      </c>
      <c r="C37" s="1" t="s">
        <v>96</v>
      </c>
      <c r="D37" s="1" t="s">
        <v>278</v>
      </c>
      <c r="E37" s="1" t="s">
        <v>278</v>
      </c>
      <c r="F37" s="1" t="s">
        <v>90</v>
      </c>
      <c r="G37" s="4" t="s">
        <v>198</v>
      </c>
      <c r="H37" s="4" t="s">
        <v>199</v>
      </c>
    </row>
    <row r="38" spans="1:8" ht="304" x14ac:dyDescent="0.2">
      <c r="A38" s="1">
        <v>203023</v>
      </c>
      <c r="B38" s="1" t="s">
        <v>277</v>
      </c>
      <c r="C38" s="1" t="s">
        <v>96</v>
      </c>
      <c r="D38" s="1" t="s">
        <v>278</v>
      </c>
      <c r="E38" s="1" t="s">
        <v>278</v>
      </c>
      <c r="F38" s="4" t="s">
        <v>87</v>
      </c>
      <c r="G38" s="4" t="s">
        <v>200</v>
      </c>
      <c r="H38" s="4" t="s">
        <v>201</v>
      </c>
    </row>
    <row r="39" spans="1:8" ht="304" x14ac:dyDescent="0.2">
      <c r="A39" s="1">
        <v>203023</v>
      </c>
      <c r="B39" s="1" t="s">
        <v>277</v>
      </c>
      <c r="C39" s="1" t="s">
        <v>96</v>
      </c>
      <c r="D39" s="1" t="s">
        <v>278</v>
      </c>
      <c r="E39" s="1" t="s">
        <v>278</v>
      </c>
      <c r="F39" s="1" t="s">
        <v>91</v>
      </c>
      <c r="G39" s="4" t="s">
        <v>202</v>
      </c>
      <c r="H39" s="4" t="s">
        <v>203</v>
      </c>
    </row>
    <row r="40" spans="1:8" ht="409.6" x14ac:dyDescent="0.2">
      <c r="A40" s="1">
        <v>203023</v>
      </c>
      <c r="B40" s="1" t="s">
        <v>277</v>
      </c>
      <c r="C40" s="1" t="s">
        <v>96</v>
      </c>
      <c r="D40" s="1" t="s">
        <v>278</v>
      </c>
      <c r="E40" s="1" t="s">
        <v>278</v>
      </c>
      <c r="F40" s="1" t="s">
        <v>100</v>
      </c>
      <c r="G40" s="4" t="s">
        <v>204</v>
      </c>
      <c r="H40" s="1" t="s">
        <v>205</v>
      </c>
    </row>
    <row r="41" spans="1:8" ht="409.6" x14ac:dyDescent="0.2">
      <c r="A41" s="1">
        <v>203023</v>
      </c>
      <c r="B41" s="1" t="s">
        <v>277</v>
      </c>
      <c r="C41" s="1" t="s">
        <v>96</v>
      </c>
      <c r="D41" s="1" t="s">
        <v>278</v>
      </c>
      <c r="E41" s="1" t="s">
        <v>278</v>
      </c>
      <c r="F41" s="1" t="s">
        <v>71</v>
      </c>
      <c r="G41" s="4" t="s">
        <v>206</v>
      </c>
      <c r="H41" s="4" t="s">
        <v>207</v>
      </c>
    </row>
    <row r="42" spans="1:8" ht="64" x14ac:dyDescent="0.2">
      <c r="A42" s="1">
        <v>203023</v>
      </c>
      <c r="B42" s="1" t="s">
        <v>277</v>
      </c>
      <c r="C42" s="1" t="s">
        <v>86</v>
      </c>
      <c r="D42" s="1" t="s">
        <v>278</v>
      </c>
      <c r="E42" s="1" t="s">
        <v>278</v>
      </c>
      <c r="F42" s="1" t="s">
        <v>97</v>
      </c>
      <c r="G42" s="4" t="s">
        <v>132</v>
      </c>
      <c r="H42" s="1" t="s">
        <v>208</v>
      </c>
    </row>
    <row r="43" spans="1:8" ht="64" x14ac:dyDescent="0.2">
      <c r="A43" s="1">
        <v>203023</v>
      </c>
      <c r="B43" s="1" t="s">
        <v>277</v>
      </c>
      <c r="C43" s="1" t="s">
        <v>86</v>
      </c>
      <c r="D43" s="1" t="s">
        <v>278</v>
      </c>
      <c r="E43" s="1" t="s">
        <v>278</v>
      </c>
      <c r="F43" s="1" t="s">
        <v>81</v>
      </c>
      <c r="G43" s="4" t="s">
        <v>132</v>
      </c>
      <c r="H43" s="4" t="s">
        <v>209</v>
      </c>
    </row>
    <row r="44" spans="1:8" ht="64" x14ac:dyDescent="0.2">
      <c r="A44" s="1">
        <v>203023</v>
      </c>
      <c r="B44" s="1" t="s">
        <v>277</v>
      </c>
      <c r="C44" s="1" t="s">
        <v>86</v>
      </c>
      <c r="D44" s="1" t="s">
        <v>278</v>
      </c>
      <c r="E44" s="1" t="s">
        <v>278</v>
      </c>
      <c r="F44" s="4" t="s">
        <v>77</v>
      </c>
      <c r="G44" s="4" t="s">
        <v>132</v>
      </c>
      <c r="H44" s="4" t="s">
        <v>210</v>
      </c>
    </row>
    <row r="45" spans="1:8" ht="64" x14ac:dyDescent="0.2">
      <c r="A45" s="1">
        <v>203023</v>
      </c>
      <c r="B45" s="1" t="s">
        <v>277</v>
      </c>
      <c r="C45" s="1" t="s">
        <v>86</v>
      </c>
      <c r="D45" s="1" t="s">
        <v>278</v>
      </c>
      <c r="E45" s="1" t="s">
        <v>278</v>
      </c>
      <c r="F45" s="4" t="s">
        <v>83</v>
      </c>
      <c r="G45" s="4" t="s">
        <v>132</v>
      </c>
      <c r="H45" s="4" t="s">
        <v>211</v>
      </c>
    </row>
    <row r="46" spans="1:8" ht="64" x14ac:dyDescent="0.2">
      <c r="A46" s="1">
        <v>203023</v>
      </c>
      <c r="B46" s="1" t="s">
        <v>277</v>
      </c>
      <c r="C46" s="1" t="s">
        <v>86</v>
      </c>
      <c r="D46" s="1" t="s">
        <v>278</v>
      </c>
      <c r="E46" s="1" t="s">
        <v>278</v>
      </c>
      <c r="F46" s="4" t="s">
        <v>90</v>
      </c>
      <c r="G46" s="4" t="s">
        <v>132</v>
      </c>
      <c r="H46" s="1" t="s">
        <v>212</v>
      </c>
    </row>
    <row r="47" spans="1:8" ht="64" x14ac:dyDescent="0.2">
      <c r="A47" s="1">
        <v>203023</v>
      </c>
      <c r="B47" s="1" t="s">
        <v>277</v>
      </c>
      <c r="C47" s="1" t="s">
        <v>86</v>
      </c>
      <c r="D47" s="1" t="s">
        <v>278</v>
      </c>
      <c r="E47" s="1" t="s">
        <v>278</v>
      </c>
      <c r="F47" s="1" t="s">
        <v>87</v>
      </c>
      <c r="G47" s="4" t="s">
        <v>132</v>
      </c>
      <c r="H47" s="1" t="s">
        <v>213</v>
      </c>
    </row>
    <row r="48" spans="1:8" ht="64" x14ac:dyDescent="0.2">
      <c r="A48" s="1">
        <v>203023</v>
      </c>
      <c r="B48" s="1" t="s">
        <v>277</v>
      </c>
      <c r="C48" s="1" t="s">
        <v>86</v>
      </c>
      <c r="D48" s="1" t="s">
        <v>278</v>
      </c>
      <c r="E48" s="1" t="s">
        <v>278</v>
      </c>
      <c r="F48" s="4" t="s">
        <v>71</v>
      </c>
      <c r="G48" s="4" t="s">
        <v>132</v>
      </c>
      <c r="H48" s="4" t="s">
        <v>214</v>
      </c>
    </row>
    <row r="49" spans="1:8" ht="64" x14ac:dyDescent="0.2">
      <c r="A49" s="1">
        <v>203023</v>
      </c>
      <c r="B49" s="1" t="s">
        <v>277</v>
      </c>
      <c r="C49" s="1" t="s">
        <v>86</v>
      </c>
      <c r="D49" s="1" t="s">
        <v>278</v>
      </c>
      <c r="E49" s="4" t="s">
        <v>278</v>
      </c>
      <c r="F49" s="4" t="s">
        <v>77</v>
      </c>
      <c r="G49" s="4" t="s">
        <v>215</v>
      </c>
      <c r="H49" s="1" t="s">
        <v>216</v>
      </c>
    </row>
    <row r="50" spans="1:8" ht="16" x14ac:dyDescent="0.2">
      <c r="A50" s="1">
        <v>203023</v>
      </c>
      <c r="B50" s="1" t="s">
        <v>277</v>
      </c>
      <c r="C50" s="1" t="s">
        <v>86</v>
      </c>
      <c r="D50" s="1" t="s">
        <v>278</v>
      </c>
      <c r="E50" s="1" t="s">
        <v>278</v>
      </c>
      <c r="F50" s="4" t="s">
        <v>90</v>
      </c>
      <c r="G50" s="1" t="s">
        <v>217</v>
      </c>
      <c r="H50" s="1" t="s">
        <v>218</v>
      </c>
    </row>
    <row r="51" spans="1:8" ht="16" x14ac:dyDescent="0.2">
      <c r="A51" s="1">
        <v>203023</v>
      </c>
      <c r="B51" s="1" t="s">
        <v>277</v>
      </c>
      <c r="C51" s="1" t="s">
        <v>86</v>
      </c>
      <c r="D51" s="1" t="s">
        <v>278</v>
      </c>
      <c r="E51" s="1" t="s">
        <v>278</v>
      </c>
      <c r="F51" s="4" t="s">
        <v>71</v>
      </c>
      <c r="G51" s="1" t="s">
        <v>219</v>
      </c>
      <c r="H51" s="1" t="s">
        <v>220</v>
      </c>
    </row>
    <row r="52" spans="1:8" ht="409.6" x14ac:dyDescent="0.2">
      <c r="A52" s="1">
        <v>203023</v>
      </c>
      <c r="B52" s="1" t="s">
        <v>277</v>
      </c>
      <c r="C52" s="1" t="s">
        <v>112</v>
      </c>
      <c r="D52" s="1" t="s">
        <v>278</v>
      </c>
      <c r="E52" s="1" t="s">
        <v>278</v>
      </c>
      <c r="F52" s="4" t="s">
        <v>69</v>
      </c>
      <c r="G52" s="4" t="s">
        <v>221</v>
      </c>
      <c r="H52" s="1" t="s">
        <v>113</v>
      </c>
    </row>
    <row r="53" spans="1:8" ht="16" x14ac:dyDescent="0.2">
      <c r="A53" s="1">
        <v>203023</v>
      </c>
      <c r="B53" s="1" t="s">
        <v>277</v>
      </c>
      <c r="C53" s="1" t="s">
        <v>93</v>
      </c>
      <c r="D53" s="1" t="s">
        <v>278</v>
      </c>
      <c r="E53" s="1" t="s">
        <v>278</v>
      </c>
      <c r="F53" s="4" t="s">
        <v>90</v>
      </c>
      <c r="G53" s="1" t="s">
        <v>75</v>
      </c>
      <c r="H53" s="4" t="s">
        <v>75</v>
      </c>
    </row>
    <row r="54" spans="1:8" ht="16" x14ac:dyDescent="0.2">
      <c r="A54" s="1">
        <v>203023</v>
      </c>
      <c r="B54" s="1" t="s">
        <v>277</v>
      </c>
      <c r="C54" s="1" t="s">
        <v>76</v>
      </c>
      <c r="D54" s="1" t="s">
        <v>278</v>
      </c>
      <c r="E54" s="1" t="s">
        <v>278</v>
      </c>
      <c r="F54" s="4" t="s">
        <v>74</v>
      </c>
      <c r="G54" s="1" t="s">
        <v>222</v>
      </c>
      <c r="H54" s="1" t="s">
        <v>113</v>
      </c>
    </row>
    <row r="55" spans="1:8" ht="16" x14ac:dyDescent="0.2">
      <c r="A55" s="1">
        <v>203023</v>
      </c>
      <c r="B55" s="1" t="s">
        <v>277</v>
      </c>
      <c r="C55" s="1" t="s">
        <v>94</v>
      </c>
      <c r="D55" s="1" t="s">
        <v>278</v>
      </c>
      <c r="E55" s="1" t="s">
        <v>278</v>
      </c>
      <c r="F55" s="4" t="s">
        <v>74</v>
      </c>
      <c r="G55" s="1" t="s">
        <v>95</v>
      </c>
      <c r="H55" s="1" t="s">
        <v>95</v>
      </c>
    </row>
    <row r="56" spans="1:8" ht="16" x14ac:dyDescent="0.2">
      <c r="A56" s="1">
        <v>203023</v>
      </c>
      <c r="B56" s="1" t="s">
        <v>277</v>
      </c>
      <c r="C56" s="1" t="s">
        <v>68</v>
      </c>
      <c r="D56" s="1" t="s">
        <v>278</v>
      </c>
      <c r="E56" s="1" t="s">
        <v>278</v>
      </c>
      <c r="F56" s="4" t="s">
        <v>82</v>
      </c>
      <c r="G56" s="1" t="s">
        <v>223</v>
      </c>
      <c r="H56" s="1" t="s">
        <v>224</v>
      </c>
    </row>
    <row r="57" spans="1:8" ht="16" x14ac:dyDescent="0.2">
      <c r="A57" s="1">
        <v>203023</v>
      </c>
      <c r="B57" s="1" t="s">
        <v>277</v>
      </c>
      <c r="C57" s="1" t="s">
        <v>68</v>
      </c>
      <c r="D57" s="1" t="s">
        <v>278</v>
      </c>
      <c r="E57" s="1" t="s">
        <v>278</v>
      </c>
      <c r="F57" s="4" t="s">
        <v>69</v>
      </c>
      <c r="G57" s="1" t="s">
        <v>225</v>
      </c>
      <c r="H57" s="1" t="s">
        <v>226</v>
      </c>
    </row>
    <row r="58" spans="1:8" ht="16" x14ac:dyDescent="0.2">
      <c r="A58" s="1">
        <v>203023</v>
      </c>
      <c r="B58" s="1" t="s">
        <v>277</v>
      </c>
      <c r="C58" s="1" t="s">
        <v>68</v>
      </c>
      <c r="D58" s="1" t="s">
        <v>278</v>
      </c>
      <c r="E58" s="1" t="s">
        <v>278</v>
      </c>
      <c r="F58" s="4" t="s">
        <v>91</v>
      </c>
      <c r="G58" s="1" t="s">
        <v>227</v>
      </c>
      <c r="H58" s="1" t="s">
        <v>228</v>
      </c>
    </row>
    <row r="59" spans="1:8" ht="16" x14ac:dyDescent="0.2">
      <c r="A59" s="1">
        <v>203023</v>
      </c>
      <c r="B59" s="1" t="s">
        <v>277</v>
      </c>
      <c r="C59" s="1" t="s">
        <v>68</v>
      </c>
      <c r="D59" s="1" t="s">
        <v>278</v>
      </c>
      <c r="E59" s="1" t="s">
        <v>278</v>
      </c>
      <c r="F59" s="4" t="s">
        <v>82</v>
      </c>
      <c r="G59" s="1" t="s">
        <v>229</v>
      </c>
      <c r="H59" s="1" t="s">
        <v>230</v>
      </c>
    </row>
    <row r="60" spans="1:8" ht="16" x14ac:dyDescent="0.2">
      <c r="A60" s="1">
        <v>203023</v>
      </c>
      <c r="B60" s="1" t="s">
        <v>277</v>
      </c>
      <c r="C60" s="1" t="s">
        <v>101</v>
      </c>
      <c r="D60" s="1" t="s">
        <v>278</v>
      </c>
      <c r="E60" s="1" t="s">
        <v>278</v>
      </c>
      <c r="F60" s="4" t="s">
        <v>81</v>
      </c>
      <c r="G60" s="1" t="s">
        <v>231</v>
      </c>
      <c r="H60" s="1" t="s">
        <v>232</v>
      </c>
    </row>
    <row r="61" spans="1:8" ht="16" x14ac:dyDescent="0.2">
      <c r="A61" s="1">
        <v>203023</v>
      </c>
      <c r="B61" s="1" t="s">
        <v>277</v>
      </c>
      <c r="C61" s="1" t="s">
        <v>101</v>
      </c>
      <c r="D61" s="1" t="s">
        <v>278</v>
      </c>
      <c r="E61" s="1" t="s">
        <v>278</v>
      </c>
      <c r="F61" s="4" t="s">
        <v>81</v>
      </c>
      <c r="G61" s="1" t="s">
        <v>233</v>
      </c>
      <c r="H61" s="1" t="s">
        <v>234</v>
      </c>
    </row>
    <row r="62" spans="1:8" ht="16" x14ac:dyDescent="0.2">
      <c r="A62" s="1">
        <v>203023</v>
      </c>
      <c r="B62" s="1" t="s">
        <v>277</v>
      </c>
      <c r="C62" s="1" t="s">
        <v>101</v>
      </c>
      <c r="D62" s="1" t="s">
        <v>278</v>
      </c>
      <c r="E62" s="1" t="s">
        <v>278</v>
      </c>
      <c r="F62" s="4" t="s">
        <v>70</v>
      </c>
      <c r="G62" s="1" t="s">
        <v>235</v>
      </c>
      <c r="H62" s="1" t="s">
        <v>236</v>
      </c>
    </row>
    <row r="63" spans="1:8" ht="64" x14ac:dyDescent="0.2">
      <c r="A63" s="1">
        <v>203023</v>
      </c>
      <c r="B63" s="1" t="s">
        <v>277</v>
      </c>
      <c r="C63" s="1" t="s">
        <v>101</v>
      </c>
      <c r="D63" s="1" t="s">
        <v>278</v>
      </c>
      <c r="E63" s="1" t="s">
        <v>278</v>
      </c>
      <c r="F63" s="4" t="s">
        <v>70</v>
      </c>
      <c r="G63" s="4" t="s">
        <v>237</v>
      </c>
      <c r="H63" s="1" t="s">
        <v>236</v>
      </c>
    </row>
    <row r="64" spans="1:8" ht="64" x14ac:dyDescent="0.2">
      <c r="A64" s="1">
        <v>203023</v>
      </c>
      <c r="B64" s="1" t="s">
        <v>277</v>
      </c>
      <c r="C64" s="1" t="s">
        <v>101</v>
      </c>
      <c r="D64" s="1" t="s">
        <v>278</v>
      </c>
      <c r="E64" s="1" t="s">
        <v>278</v>
      </c>
      <c r="F64" s="1" t="s">
        <v>77</v>
      </c>
      <c r="G64" s="4" t="s">
        <v>238</v>
      </c>
      <c r="H64" s="4" t="s">
        <v>239</v>
      </c>
    </row>
    <row r="65" spans="1:8" ht="32" x14ac:dyDescent="0.2">
      <c r="A65" s="1">
        <v>203023</v>
      </c>
      <c r="B65" s="1" t="s">
        <v>277</v>
      </c>
      <c r="C65" s="1" t="s">
        <v>101</v>
      </c>
      <c r="D65" s="1" t="s">
        <v>278</v>
      </c>
      <c r="E65" s="1" t="s">
        <v>278</v>
      </c>
      <c r="F65" s="1" t="s">
        <v>92</v>
      </c>
      <c r="G65" s="4" t="s">
        <v>240</v>
      </c>
      <c r="H65" s="4" t="s">
        <v>236</v>
      </c>
    </row>
    <row r="66" spans="1:8" ht="48" x14ac:dyDescent="0.2">
      <c r="A66" s="1">
        <v>203023</v>
      </c>
      <c r="B66" s="1" t="s">
        <v>277</v>
      </c>
      <c r="C66" s="1" t="s">
        <v>101</v>
      </c>
      <c r="D66" s="1" t="s">
        <v>278</v>
      </c>
      <c r="E66" s="1" t="s">
        <v>278</v>
      </c>
      <c r="F66" s="1" t="s">
        <v>100</v>
      </c>
      <c r="G66" s="4" t="s">
        <v>241</v>
      </c>
      <c r="H66" s="4" t="s">
        <v>236</v>
      </c>
    </row>
    <row r="67" spans="1:8" ht="48" x14ac:dyDescent="0.2">
      <c r="A67" s="1">
        <v>203023</v>
      </c>
      <c r="B67" s="1" t="s">
        <v>277</v>
      </c>
      <c r="C67" s="1" t="s">
        <v>103</v>
      </c>
      <c r="D67" s="1" t="s">
        <v>278</v>
      </c>
      <c r="E67" s="1" t="s">
        <v>278</v>
      </c>
      <c r="F67" s="1" t="s">
        <v>100</v>
      </c>
      <c r="G67" s="4" t="s">
        <v>242</v>
      </c>
      <c r="H67" s="1" t="s">
        <v>243</v>
      </c>
    </row>
    <row r="68" spans="1:8" ht="16" x14ac:dyDescent="0.2">
      <c r="A68" s="1">
        <v>203023</v>
      </c>
      <c r="B68" s="1" t="s">
        <v>277</v>
      </c>
      <c r="C68" s="1" t="s">
        <v>102</v>
      </c>
      <c r="D68" s="1" t="s">
        <v>278</v>
      </c>
      <c r="E68" s="1" t="s">
        <v>278</v>
      </c>
      <c r="F68" s="1" t="s">
        <v>69</v>
      </c>
      <c r="G68" s="4" t="s">
        <v>244</v>
      </c>
      <c r="H68" s="1" t="s">
        <v>245</v>
      </c>
    </row>
    <row r="69" spans="1:8" ht="32" x14ac:dyDescent="0.2">
      <c r="A69" s="1">
        <v>203023</v>
      </c>
      <c r="B69" s="1" t="s">
        <v>277</v>
      </c>
      <c r="C69" s="1" t="s">
        <v>102</v>
      </c>
      <c r="D69" s="1" t="s">
        <v>278</v>
      </c>
      <c r="E69" s="1" t="s">
        <v>278</v>
      </c>
      <c r="F69" s="1" t="s">
        <v>69</v>
      </c>
      <c r="G69" s="4" t="s">
        <v>246</v>
      </c>
      <c r="H69" s="1" t="s">
        <v>247</v>
      </c>
    </row>
    <row r="70" spans="1:8" ht="80" x14ac:dyDescent="0.2">
      <c r="A70" s="1">
        <v>203023</v>
      </c>
      <c r="B70" s="1" t="s">
        <v>277</v>
      </c>
      <c r="C70" s="1" t="s">
        <v>102</v>
      </c>
      <c r="D70" s="1" t="s">
        <v>278</v>
      </c>
      <c r="E70" s="1" t="s">
        <v>278</v>
      </c>
      <c r="F70" s="1" t="s">
        <v>69</v>
      </c>
      <c r="G70" s="4" t="s">
        <v>248</v>
      </c>
      <c r="H70" s="4" t="s">
        <v>249</v>
      </c>
    </row>
    <row r="71" spans="1:8" ht="144" x14ac:dyDescent="0.2">
      <c r="A71" s="1">
        <v>203023</v>
      </c>
      <c r="B71" s="1" t="s">
        <v>277</v>
      </c>
      <c r="C71" s="1" t="s">
        <v>102</v>
      </c>
      <c r="D71" s="1" t="s">
        <v>278</v>
      </c>
      <c r="E71" s="1" t="s">
        <v>278</v>
      </c>
      <c r="F71" s="1" t="s">
        <v>69</v>
      </c>
      <c r="G71" s="4" t="s">
        <v>250</v>
      </c>
      <c r="H71" s="4" t="s">
        <v>251</v>
      </c>
    </row>
    <row r="72" spans="1:8" ht="144" x14ac:dyDescent="0.2">
      <c r="A72" s="1">
        <v>203023</v>
      </c>
      <c r="B72" s="1" t="s">
        <v>277</v>
      </c>
      <c r="C72" s="1" t="s">
        <v>73</v>
      </c>
      <c r="D72" s="1" t="s">
        <v>278</v>
      </c>
      <c r="E72" s="1" t="s">
        <v>278</v>
      </c>
      <c r="F72" s="1" t="s">
        <v>74</v>
      </c>
      <c r="G72" s="4" t="s">
        <v>252</v>
      </c>
      <c r="H72" s="1" t="s">
        <v>75</v>
      </c>
    </row>
    <row r="73" spans="1:8" ht="64" x14ac:dyDescent="0.2">
      <c r="A73" s="1">
        <v>203023</v>
      </c>
      <c r="B73" s="1" t="s">
        <v>277</v>
      </c>
      <c r="C73" s="1" t="s">
        <v>73</v>
      </c>
      <c r="D73" s="1" t="s">
        <v>278</v>
      </c>
      <c r="E73" s="1" t="s">
        <v>278</v>
      </c>
      <c r="F73" s="1" t="s">
        <v>74</v>
      </c>
      <c r="G73" s="4" t="s">
        <v>253</v>
      </c>
      <c r="H73" s="1" t="s">
        <v>75</v>
      </c>
    </row>
    <row r="74" spans="1:8" ht="96" x14ac:dyDescent="0.2">
      <c r="A74" s="1">
        <v>203023</v>
      </c>
      <c r="B74" s="1" t="s">
        <v>277</v>
      </c>
      <c r="C74" s="1" t="s">
        <v>73</v>
      </c>
      <c r="D74" s="1" t="s">
        <v>278</v>
      </c>
      <c r="E74" s="1" t="s">
        <v>278</v>
      </c>
      <c r="F74" s="1" t="s">
        <v>74</v>
      </c>
      <c r="G74" s="4" t="s">
        <v>254</v>
      </c>
      <c r="H74" s="4" t="s">
        <v>75</v>
      </c>
    </row>
    <row r="75" spans="1:8" ht="80" x14ac:dyDescent="0.2">
      <c r="A75" s="1">
        <v>203023</v>
      </c>
      <c r="B75" s="1" t="s">
        <v>277</v>
      </c>
      <c r="C75" s="1" t="s">
        <v>106</v>
      </c>
      <c r="D75" s="1" t="s">
        <v>278</v>
      </c>
      <c r="E75" s="1" t="s">
        <v>278</v>
      </c>
      <c r="F75" s="1" t="s">
        <v>89</v>
      </c>
      <c r="G75" s="4" t="s">
        <v>255</v>
      </c>
      <c r="H75" s="1" t="s">
        <v>256</v>
      </c>
    </row>
    <row r="76" spans="1:8" ht="80" x14ac:dyDescent="0.2">
      <c r="A76" s="1">
        <v>203023</v>
      </c>
      <c r="B76" s="1" t="s">
        <v>277</v>
      </c>
      <c r="C76" s="1" t="s">
        <v>106</v>
      </c>
      <c r="D76" s="1" t="s">
        <v>278</v>
      </c>
      <c r="E76" s="1" t="s">
        <v>278</v>
      </c>
      <c r="F76" s="4" t="s">
        <v>74</v>
      </c>
      <c r="G76" s="4" t="s">
        <v>257</v>
      </c>
      <c r="H76" s="4" t="s">
        <v>258</v>
      </c>
    </row>
    <row r="77" spans="1:8" ht="112" x14ac:dyDescent="0.2">
      <c r="A77" s="1">
        <v>203023</v>
      </c>
      <c r="B77" s="1" t="s">
        <v>277</v>
      </c>
      <c r="C77" s="1" t="s">
        <v>104</v>
      </c>
      <c r="D77" s="1" t="s">
        <v>278</v>
      </c>
      <c r="E77" s="1" t="s">
        <v>278</v>
      </c>
      <c r="F77" s="4" t="s">
        <v>85</v>
      </c>
      <c r="G77" s="4" t="s">
        <v>259</v>
      </c>
      <c r="H77" s="4" t="s">
        <v>259</v>
      </c>
    </row>
    <row r="78" spans="1:8" ht="395" x14ac:dyDescent="0.2">
      <c r="A78" s="1">
        <v>203023</v>
      </c>
      <c r="B78" s="1" t="s">
        <v>277</v>
      </c>
      <c r="C78" s="1" t="s">
        <v>104</v>
      </c>
      <c r="D78" s="1" t="s">
        <v>278</v>
      </c>
      <c r="E78" s="1" t="s">
        <v>278</v>
      </c>
      <c r="F78" s="4" t="s">
        <v>91</v>
      </c>
      <c r="G78" s="4" t="s">
        <v>261</v>
      </c>
      <c r="H78" s="4" t="s">
        <v>261</v>
      </c>
    </row>
    <row r="79" spans="1:8" ht="335" x14ac:dyDescent="0.2">
      <c r="A79" s="1">
        <v>203023</v>
      </c>
      <c r="B79" s="1" t="s">
        <v>277</v>
      </c>
      <c r="C79" s="1" t="s">
        <v>104</v>
      </c>
      <c r="D79" s="1" t="s">
        <v>278</v>
      </c>
      <c r="E79" s="1" t="s">
        <v>278</v>
      </c>
      <c r="F79" s="4" t="s">
        <v>87</v>
      </c>
      <c r="G79" s="4" t="s">
        <v>262</v>
      </c>
      <c r="H79" s="4" t="s">
        <v>262</v>
      </c>
    </row>
    <row r="80" spans="1:8" ht="64" x14ac:dyDescent="0.2">
      <c r="A80" s="1">
        <v>203023</v>
      </c>
      <c r="B80" s="1" t="s">
        <v>277</v>
      </c>
      <c r="C80" s="1" t="s">
        <v>117</v>
      </c>
      <c r="D80" s="1" t="s">
        <v>278</v>
      </c>
      <c r="E80" s="1" t="s">
        <v>278</v>
      </c>
      <c r="F80" s="1" t="s">
        <v>77</v>
      </c>
      <c r="G80" s="4" t="s">
        <v>263</v>
      </c>
      <c r="H80" s="4" t="s">
        <v>75</v>
      </c>
    </row>
    <row r="81" spans="1:8" ht="409.6" x14ac:dyDescent="0.2">
      <c r="A81" s="1">
        <v>203023</v>
      </c>
      <c r="B81" s="1" t="s">
        <v>277</v>
      </c>
      <c r="C81" s="1" t="s">
        <v>117</v>
      </c>
      <c r="D81" s="1" t="s">
        <v>278</v>
      </c>
      <c r="E81" s="1" t="s">
        <v>278</v>
      </c>
      <c r="F81" s="1" t="s">
        <v>98</v>
      </c>
      <c r="G81" s="4" t="s">
        <v>264</v>
      </c>
      <c r="H81" s="1" t="s">
        <v>75</v>
      </c>
    </row>
    <row r="82" spans="1:8" ht="224" x14ac:dyDescent="0.2">
      <c r="A82" s="1">
        <v>203023</v>
      </c>
      <c r="B82" s="1" t="s">
        <v>277</v>
      </c>
      <c r="C82" s="1" t="s">
        <v>117</v>
      </c>
      <c r="D82" s="1" t="s">
        <v>278</v>
      </c>
      <c r="E82" s="1" t="s">
        <v>278</v>
      </c>
      <c r="F82" s="1" t="s">
        <v>92</v>
      </c>
      <c r="G82" s="4" t="s">
        <v>265</v>
      </c>
      <c r="H82" s="1" t="s">
        <v>75</v>
      </c>
    </row>
    <row r="83" spans="1:8" ht="80" x14ac:dyDescent="0.2">
      <c r="A83" s="1">
        <v>203023</v>
      </c>
      <c r="B83" s="1" t="s">
        <v>277</v>
      </c>
      <c r="C83" s="1" t="s">
        <v>117</v>
      </c>
      <c r="D83" s="1" t="s">
        <v>278</v>
      </c>
      <c r="E83" s="1" t="s">
        <v>278</v>
      </c>
      <c r="F83" s="1" t="s">
        <v>91</v>
      </c>
      <c r="G83" s="4" t="s">
        <v>266</v>
      </c>
      <c r="H83" s="1" t="s">
        <v>75</v>
      </c>
    </row>
    <row r="84" spans="1:8" ht="409.6" x14ac:dyDescent="0.2">
      <c r="A84" s="1">
        <v>203023</v>
      </c>
      <c r="B84" s="1" t="s">
        <v>277</v>
      </c>
      <c r="C84" s="1" t="s">
        <v>117</v>
      </c>
      <c r="D84" s="1" t="s">
        <v>278</v>
      </c>
      <c r="E84" s="1" t="s">
        <v>278</v>
      </c>
      <c r="F84" s="4" t="s">
        <v>74</v>
      </c>
      <c r="G84" s="4" t="s">
        <v>267</v>
      </c>
      <c r="H84" s="4" t="s">
        <v>75</v>
      </c>
    </row>
    <row r="85" spans="1:8" ht="16" x14ac:dyDescent="0.2">
      <c r="A85" s="1">
        <v>203023</v>
      </c>
      <c r="B85" s="1" t="s">
        <v>277</v>
      </c>
      <c r="C85" s="1" t="s">
        <v>114</v>
      </c>
      <c r="D85" s="1" t="s">
        <v>278</v>
      </c>
      <c r="E85" s="1" t="s">
        <v>278</v>
      </c>
      <c r="F85" s="4" t="s">
        <v>74</v>
      </c>
      <c r="G85" s="4" t="s">
        <v>113</v>
      </c>
      <c r="H85" s="4" t="s">
        <v>113</v>
      </c>
    </row>
    <row r="86" spans="1:8" ht="16" x14ac:dyDescent="0.2">
      <c r="A86" s="1">
        <v>203023</v>
      </c>
      <c r="B86" s="1" t="s">
        <v>277</v>
      </c>
      <c r="C86" s="1" t="s">
        <v>107</v>
      </c>
      <c r="D86" s="1" t="s">
        <v>278</v>
      </c>
      <c r="E86" s="1" t="s">
        <v>278</v>
      </c>
      <c r="F86" s="4" t="s">
        <v>92</v>
      </c>
      <c r="G86" s="1" t="s">
        <v>130</v>
      </c>
      <c r="H86" s="4" t="s">
        <v>131</v>
      </c>
    </row>
    <row r="87" spans="1:8" ht="16" x14ac:dyDescent="0.2">
      <c r="A87" s="1">
        <v>203023</v>
      </c>
      <c r="B87" s="1" t="s">
        <v>277</v>
      </c>
      <c r="C87" s="1" t="s">
        <v>107</v>
      </c>
      <c r="D87" s="1" t="s">
        <v>278</v>
      </c>
      <c r="E87" s="1" t="s">
        <v>278</v>
      </c>
      <c r="F87" s="4" t="s">
        <v>79</v>
      </c>
      <c r="G87" s="4"/>
      <c r="H87" s="4"/>
    </row>
    <row r="88" spans="1:8" ht="96" x14ac:dyDescent="0.2">
      <c r="A88" s="1">
        <v>203023</v>
      </c>
      <c r="B88" s="1" t="s">
        <v>277</v>
      </c>
      <c r="C88" s="1" t="s">
        <v>115</v>
      </c>
      <c r="D88" s="1" t="s">
        <v>278</v>
      </c>
      <c r="E88" s="1" t="s">
        <v>278</v>
      </c>
      <c r="F88" s="4" t="s">
        <v>71</v>
      </c>
      <c r="G88" s="4" t="s">
        <v>268</v>
      </c>
      <c r="H88" s="4" t="s">
        <v>116</v>
      </c>
    </row>
    <row r="89" spans="1:8" ht="80" x14ac:dyDescent="0.2">
      <c r="A89" s="1">
        <v>203023</v>
      </c>
      <c r="B89" s="1" t="s">
        <v>277</v>
      </c>
      <c r="C89" s="1" t="s">
        <v>115</v>
      </c>
      <c r="D89" s="1" t="s">
        <v>278</v>
      </c>
      <c r="E89" s="4" t="s">
        <v>278</v>
      </c>
      <c r="F89" s="4" t="s">
        <v>69</v>
      </c>
      <c r="G89" s="4" t="s">
        <v>269</v>
      </c>
      <c r="H89" s="4" t="s">
        <v>116</v>
      </c>
    </row>
    <row r="90" spans="1:8" ht="48" x14ac:dyDescent="0.2">
      <c r="A90" s="1">
        <v>203023</v>
      </c>
      <c r="B90" s="1" t="s">
        <v>277</v>
      </c>
      <c r="C90" s="1" t="s">
        <v>115</v>
      </c>
      <c r="D90" s="1" t="s">
        <v>278</v>
      </c>
      <c r="E90" s="4" t="s">
        <v>278</v>
      </c>
      <c r="F90" s="1" t="s">
        <v>74</v>
      </c>
      <c r="G90" s="4" t="s">
        <v>270</v>
      </c>
      <c r="H90" s="1" t="s">
        <v>116</v>
      </c>
    </row>
    <row r="91" spans="1:8" ht="144" x14ac:dyDescent="0.2">
      <c r="A91" s="1">
        <v>203023</v>
      </c>
      <c r="B91" s="1" t="s">
        <v>277</v>
      </c>
      <c r="C91" s="1" t="s">
        <v>115</v>
      </c>
      <c r="D91" s="1" t="s">
        <v>278</v>
      </c>
      <c r="E91" s="4" t="s">
        <v>278</v>
      </c>
      <c r="F91" s="1" t="s">
        <v>69</v>
      </c>
      <c r="G91" s="4" t="s">
        <v>271</v>
      </c>
      <c r="H91" s="1" t="s">
        <v>116</v>
      </c>
    </row>
    <row r="92" spans="1:8" x14ac:dyDescent="0.2">
      <c r="A92" s="1">
        <v>203023</v>
      </c>
      <c r="B92" s="1" t="s">
        <v>277</v>
      </c>
      <c r="C92" s="1" t="s">
        <v>115</v>
      </c>
      <c r="D92" s="1" t="s">
        <v>278</v>
      </c>
      <c r="E92" s="1" t="s">
        <v>278</v>
      </c>
      <c r="F92" s="1" t="s">
        <v>81</v>
      </c>
      <c r="G92" s="1" t="s">
        <v>272</v>
      </c>
      <c r="H92" s="1" t="s">
        <v>116</v>
      </c>
    </row>
    <row r="93" spans="1:8" ht="16" x14ac:dyDescent="0.2">
      <c r="A93" s="1">
        <v>203023</v>
      </c>
      <c r="B93" s="1" t="s">
        <v>277</v>
      </c>
      <c r="C93" s="1" t="s">
        <v>115</v>
      </c>
      <c r="D93" s="1" t="s">
        <v>278</v>
      </c>
      <c r="E93" s="1" t="s">
        <v>278</v>
      </c>
      <c r="F93" s="4" t="s">
        <v>85</v>
      </c>
      <c r="G93" s="1" t="s">
        <v>273</v>
      </c>
      <c r="H93" s="1" t="s">
        <v>116</v>
      </c>
    </row>
    <row r="94" spans="1:8" ht="16" x14ac:dyDescent="0.2">
      <c r="A94" s="1">
        <v>203023</v>
      </c>
      <c r="B94" s="1" t="s">
        <v>277</v>
      </c>
      <c r="C94" s="1" t="s">
        <v>115</v>
      </c>
      <c r="D94" s="1" t="s">
        <v>278</v>
      </c>
      <c r="E94" s="4" t="s">
        <v>278</v>
      </c>
      <c r="F94" s="4" t="s">
        <v>70</v>
      </c>
      <c r="G94" s="1" t="s">
        <v>274</v>
      </c>
      <c r="H94" s="4" t="s">
        <v>116</v>
      </c>
    </row>
    <row r="95" spans="1:8" ht="96" x14ac:dyDescent="0.2">
      <c r="A95" s="1">
        <v>203023</v>
      </c>
      <c r="B95" s="1" t="s">
        <v>277</v>
      </c>
      <c r="C95" s="1" t="s">
        <v>115</v>
      </c>
      <c r="D95" s="1" t="s">
        <v>278</v>
      </c>
      <c r="E95" s="4" t="s">
        <v>278</v>
      </c>
      <c r="F95" s="4" t="s">
        <v>69</v>
      </c>
      <c r="G95" s="4" t="s">
        <v>275</v>
      </c>
      <c r="H95" s="4" t="s">
        <v>116</v>
      </c>
    </row>
    <row r="96" spans="1:8" ht="16" x14ac:dyDescent="0.2">
      <c r="A96" s="1">
        <v>203023</v>
      </c>
      <c r="B96" s="1" t="s">
        <v>277</v>
      </c>
      <c r="C96" s="1" t="s">
        <v>118</v>
      </c>
      <c r="D96" s="1" t="s">
        <v>278</v>
      </c>
      <c r="E96" s="4" t="s">
        <v>278</v>
      </c>
      <c r="F96" s="4" t="s">
        <v>81</v>
      </c>
      <c r="G96" s="1" t="s">
        <v>276</v>
      </c>
      <c r="H96" s="4" t="s">
        <v>133</v>
      </c>
    </row>
    <row r="97" spans="1:8" ht="16" x14ac:dyDescent="0.2">
      <c r="A97" s="1">
        <v>203023</v>
      </c>
      <c r="B97" s="1" t="s">
        <v>277</v>
      </c>
      <c r="C97" s="1" t="s">
        <v>118</v>
      </c>
      <c r="D97" s="1" t="s">
        <v>278</v>
      </c>
      <c r="E97" s="4" t="s">
        <v>278</v>
      </c>
      <c r="F97" s="4" t="s">
        <v>90</v>
      </c>
      <c r="G97" s="1" t="s">
        <v>276</v>
      </c>
      <c r="H97" s="1" t="s">
        <v>133</v>
      </c>
    </row>
    <row r="98" spans="1:8" ht="16" x14ac:dyDescent="0.2">
      <c r="A98" s="1">
        <v>203023</v>
      </c>
      <c r="B98" s="1" t="s">
        <v>277</v>
      </c>
      <c r="C98" s="1" t="s">
        <v>118</v>
      </c>
      <c r="D98" s="1" t="s">
        <v>278</v>
      </c>
      <c r="E98" s="4" t="s">
        <v>278</v>
      </c>
      <c r="F98" s="1" t="s">
        <v>99</v>
      </c>
      <c r="G98" s="1" t="s">
        <v>276</v>
      </c>
      <c r="H98" s="4"/>
    </row>
    <row r="99" spans="1:8" ht="16" x14ac:dyDescent="0.2">
      <c r="A99" s="1">
        <v>203023</v>
      </c>
      <c r="B99" s="1" t="s">
        <v>277</v>
      </c>
      <c r="C99" s="1" t="s">
        <v>118</v>
      </c>
      <c r="D99" s="1" t="s">
        <v>278</v>
      </c>
      <c r="E99" s="4" t="s">
        <v>278</v>
      </c>
      <c r="F99" s="4" t="s">
        <v>74</v>
      </c>
      <c r="G99" s="1" t="s">
        <v>276</v>
      </c>
      <c r="H99" s="4"/>
    </row>
    <row r="100" spans="1:8" ht="16" x14ac:dyDescent="0.2">
      <c r="A100" s="1">
        <v>203023</v>
      </c>
      <c r="B100" s="1" t="s">
        <v>277</v>
      </c>
      <c r="C100" s="1" t="s">
        <v>118</v>
      </c>
      <c r="D100" s="1" t="s">
        <v>278</v>
      </c>
      <c r="E100" s="4" t="s">
        <v>278</v>
      </c>
      <c r="F100" s="1" t="s">
        <v>70</v>
      </c>
      <c r="G100" s="1" t="s">
        <v>276</v>
      </c>
      <c r="H100" s="4"/>
    </row>
    <row r="101" spans="1:8" ht="16" x14ac:dyDescent="0.2">
      <c r="A101" s="1">
        <v>203023</v>
      </c>
      <c r="B101" s="1" t="s">
        <v>277</v>
      </c>
      <c r="C101" s="1" t="s">
        <v>118</v>
      </c>
      <c r="D101" s="1" t="s">
        <v>278</v>
      </c>
      <c r="E101" s="4" t="s">
        <v>278</v>
      </c>
      <c r="F101" s="1" t="s">
        <v>69</v>
      </c>
      <c r="G101" s="1" t="s">
        <v>276</v>
      </c>
      <c r="H101" s="4"/>
    </row>
    <row r="102" spans="1:8" x14ac:dyDescent="0.2">
      <c r="E102" s="4"/>
    </row>
    <row r="105" spans="1:8" x14ac:dyDescent="0.2">
      <c r="F105" s="4"/>
      <c r="H105" s="4"/>
    </row>
    <row r="106" spans="1:8" x14ac:dyDescent="0.2">
      <c r="F106" s="4"/>
      <c r="G106" s="4"/>
      <c r="H106" s="4"/>
    </row>
    <row r="107" spans="1:8" x14ac:dyDescent="0.2">
      <c r="F107" s="4"/>
      <c r="G107" s="4"/>
      <c r="H107" s="4"/>
    </row>
    <row r="108" spans="1:8" x14ac:dyDescent="0.2">
      <c r="F108" s="4"/>
      <c r="G108" s="4"/>
    </row>
    <row r="109" spans="1:8" x14ac:dyDescent="0.2">
      <c r="F109" s="4"/>
      <c r="G109" s="4"/>
    </row>
    <row r="110" spans="1:8" x14ac:dyDescent="0.2">
      <c r="F110" s="4"/>
    </row>
    <row r="111" spans="1:8" x14ac:dyDescent="0.2">
      <c r="F111" s="4"/>
      <c r="H111" s="4"/>
    </row>
    <row r="112" spans="1:8" x14ac:dyDescent="0.2">
      <c r="F112" s="4"/>
      <c r="G112" s="4"/>
    </row>
    <row r="113" spans="6:8" x14ac:dyDescent="0.2">
      <c r="F113" s="4"/>
      <c r="G113" s="4"/>
    </row>
    <row r="114" spans="6:8" x14ac:dyDescent="0.2">
      <c r="F114" s="4"/>
    </row>
    <row r="115" spans="6:8" x14ac:dyDescent="0.2">
      <c r="F115" s="4"/>
      <c r="G115" s="4"/>
    </row>
    <row r="116" spans="6:8" x14ac:dyDescent="0.2">
      <c r="F116" s="4"/>
      <c r="G116" s="4"/>
      <c r="H116" s="4"/>
    </row>
    <row r="117" spans="6:8" x14ac:dyDescent="0.2">
      <c r="F117" s="4"/>
    </row>
    <row r="118" spans="6:8" x14ac:dyDescent="0.2">
      <c r="F118" s="4"/>
    </row>
    <row r="119" spans="6:8" x14ac:dyDescent="0.2">
      <c r="H119" s="4"/>
    </row>
    <row r="120" spans="6:8" x14ac:dyDescent="0.2">
      <c r="G120" s="4"/>
    </row>
    <row r="121" spans="6:8" x14ac:dyDescent="0.2">
      <c r="G121" s="4"/>
    </row>
    <row r="122" spans="6:8" x14ac:dyDescent="0.2">
      <c r="G122" s="4"/>
    </row>
    <row r="123" spans="6:8" x14ac:dyDescent="0.2">
      <c r="G123" s="4"/>
    </row>
    <row r="124" spans="6:8" x14ac:dyDescent="0.2">
      <c r="G124" s="4"/>
    </row>
    <row r="125" spans="6:8" x14ac:dyDescent="0.2">
      <c r="G125" s="4"/>
    </row>
    <row r="126" spans="6:8" x14ac:dyDescent="0.2">
      <c r="G126" s="4"/>
    </row>
    <row r="127" spans="6:8" x14ac:dyDescent="0.2">
      <c r="G127" s="4"/>
    </row>
    <row r="128" spans="6:8" x14ac:dyDescent="0.2">
      <c r="G128" s="4"/>
    </row>
    <row r="133" spans="6:8" x14ac:dyDescent="0.2">
      <c r="G133" s="4"/>
    </row>
    <row r="134" spans="6:8" x14ac:dyDescent="0.2">
      <c r="G134" s="4"/>
    </row>
    <row r="138" spans="6:8" x14ac:dyDescent="0.2">
      <c r="F138" s="4"/>
    </row>
    <row r="139" spans="6:8" x14ac:dyDescent="0.2">
      <c r="F139" s="4"/>
      <c r="G139" s="4"/>
      <c r="H139" s="4"/>
    </row>
    <row r="140" spans="6:8" x14ac:dyDescent="0.2">
      <c r="G140" s="4"/>
    </row>
    <row r="141" spans="6:8" x14ac:dyDescent="0.2">
      <c r="G141" s="4"/>
    </row>
    <row r="142" spans="6:8" x14ac:dyDescent="0.2">
      <c r="G142" s="4"/>
    </row>
    <row r="155" spans="7:8" x14ac:dyDescent="0.2">
      <c r="G155" s="4"/>
      <c r="H155" s="4"/>
    </row>
    <row r="164" spans="7:7" x14ac:dyDescent="0.2">
      <c r="G164" s="4"/>
    </row>
    <row r="182" spans="6:8" x14ac:dyDescent="0.2">
      <c r="F182" s="4"/>
      <c r="G182" s="4"/>
    </row>
    <row r="185" spans="6:8" x14ac:dyDescent="0.2">
      <c r="F185" s="4"/>
      <c r="G185" s="4"/>
    </row>
    <row r="186" spans="6:8" x14ac:dyDescent="0.2">
      <c r="H186" s="4"/>
    </row>
    <row r="187" spans="6:8" x14ac:dyDescent="0.2">
      <c r="F187" s="4"/>
    </row>
    <row r="188" spans="6:8" x14ac:dyDescent="0.2">
      <c r="G188" s="4"/>
    </row>
    <row r="190" spans="6:8" x14ac:dyDescent="0.2">
      <c r="F190" s="4"/>
    </row>
    <row r="197" spans="6:8" x14ac:dyDescent="0.2">
      <c r="F197" s="4"/>
    </row>
    <row r="207" spans="6:8" x14ac:dyDescent="0.2">
      <c r="F207" s="4"/>
      <c r="G207" s="4"/>
      <c r="H207" s="4"/>
    </row>
    <row r="208" spans="6:8" x14ac:dyDescent="0.2">
      <c r="F208" s="4"/>
      <c r="G208" s="4"/>
      <c r="H208" s="4"/>
    </row>
    <row r="209" spans="6:8" x14ac:dyDescent="0.2">
      <c r="F209" s="4"/>
      <c r="G209" s="4"/>
      <c r="H209" s="4"/>
    </row>
    <row r="210" spans="6:8" x14ac:dyDescent="0.2">
      <c r="F210" s="4"/>
      <c r="G210" s="4"/>
      <c r="H210" s="4"/>
    </row>
    <row r="211" spans="6:8" x14ac:dyDescent="0.2">
      <c r="F211" s="4"/>
      <c r="G211" s="4"/>
    </row>
    <row r="212" spans="6:8" x14ac:dyDescent="0.2">
      <c r="F212" s="4"/>
    </row>
    <row r="213" spans="6:8" x14ac:dyDescent="0.2">
      <c r="F213" s="4"/>
      <c r="G213" s="4"/>
      <c r="H213" s="4"/>
    </row>
    <row r="214" spans="6:8" x14ac:dyDescent="0.2">
      <c r="F214" s="4"/>
    </row>
    <row r="217" spans="6:8" x14ac:dyDescent="0.2">
      <c r="F217" s="4"/>
      <c r="G217" s="4"/>
    </row>
    <row r="219" spans="6:8" x14ac:dyDescent="0.2">
      <c r="F219" s="4"/>
    </row>
    <row r="220" spans="6:8" x14ac:dyDescent="0.2">
      <c r="G220" s="4"/>
    </row>
    <row r="224" spans="6:8" x14ac:dyDescent="0.2">
      <c r="F224" s="4"/>
    </row>
    <row r="225" spans="6:6" x14ac:dyDescent="0.2">
      <c r="F225" s="4"/>
    </row>
    <row r="226" spans="6:6" x14ac:dyDescent="0.2">
      <c r="F226" s="4"/>
    </row>
    <row r="227" spans="6:6" x14ac:dyDescent="0.2">
      <c r="F227" s="4"/>
    </row>
    <row r="228" spans="6:6" x14ac:dyDescent="0.2">
      <c r="F228" s="4"/>
    </row>
    <row r="229" spans="6:6" x14ac:dyDescent="0.2">
      <c r="F229" s="4"/>
    </row>
    <row r="230" spans="6:6" x14ac:dyDescent="0.2">
      <c r="F230" s="4"/>
    </row>
    <row r="231" spans="6:6" x14ac:dyDescent="0.2">
      <c r="F231" s="4"/>
    </row>
    <row r="241" spans="6:8" x14ac:dyDescent="0.2">
      <c r="F241" s="4"/>
      <c r="G241" s="4"/>
      <c r="H241" s="4"/>
    </row>
    <row r="242" spans="6:8" x14ac:dyDescent="0.2">
      <c r="F242" s="4"/>
      <c r="G242" s="4"/>
      <c r="H242" s="4"/>
    </row>
    <row r="246" spans="6:8" x14ac:dyDescent="0.2">
      <c r="F246" s="4"/>
      <c r="G246" s="4"/>
      <c r="H246" s="4"/>
    </row>
    <row r="247" spans="6:8" x14ac:dyDescent="0.2">
      <c r="F247" s="4"/>
      <c r="G247" s="4"/>
    </row>
    <row r="248" spans="6:8" x14ac:dyDescent="0.2">
      <c r="F248" s="4"/>
    </row>
    <row r="249" spans="6:8" x14ac:dyDescent="0.2">
      <c r="F249" s="4"/>
    </row>
    <row r="250" spans="6:8" x14ac:dyDescent="0.2">
      <c r="G250" s="4"/>
      <c r="H250" s="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H132"/>
  <sheetViews>
    <sheetView tabSelected="1" workbookViewId="0">
      <selection activeCell="D31" sqref="D31"/>
    </sheetView>
  </sheetViews>
  <sheetFormatPr baseColWidth="10" defaultRowHeight="15" x14ac:dyDescent="0.2"/>
  <cols>
    <col min="2" max="2" width="11.1640625" style="10" bestFit="1" customWidth="1"/>
    <col min="4" max="4" width="65.5" customWidth="1"/>
    <col min="5" max="5" width="12.5" style="12" customWidth="1"/>
    <col min="6" max="6" width="35.33203125" customWidth="1"/>
    <col min="7" max="7" width="34.83203125" customWidth="1"/>
    <col min="8" max="8" width="41.1640625" customWidth="1"/>
  </cols>
  <sheetData>
    <row r="1" spans="1:8" s="7" customFormat="1" x14ac:dyDescent="0.2">
      <c r="A1" s="8" t="s">
        <v>120</v>
      </c>
      <c r="B1" s="9" t="s">
        <v>121</v>
      </c>
      <c r="C1" s="8" t="s">
        <v>127</v>
      </c>
      <c r="D1" s="8" t="s">
        <v>122</v>
      </c>
      <c r="E1" s="11" t="s">
        <v>128</v>
      </c>
      <c r="F1" s="8" t="s">
        <v>119</v>
      </c>
      <c r="G1" s="8" t="s">
        <v>123</v>
      </c>
      <c r="H1" s="8" t="s">
        <v>124</v>
      </c>
    </row>
    <row r="2" spans="1:8" hidden="1" x14ac:dyDescent="0.2">
      <c r="A2">
        <f>+Hoja2!A2</f>
        <v>203023</v>
      </c>
      <c r="B2" s="10" t="str">
        <f>+MID(+Hoja2!B2,1,10)</f>
        <v>27/08/21</v>
      </c>
      <c r="C2">
        <f>+VLOOKUP(D2,DepMaster!$B:$C,2,FALSE)</f>
        <v>742</v>
      </c>
      <c r="D2" t="str">
        <f>+Hoja2!C2</f>
        <v>Secretaría de Medio Ambiente</v>
      </c>
      <c r="E2" s="12" t="str">
        <f>+MID(Hoja2!F2,1,2)</f>
        <v>08</v>
      </c>
      <c r="F2" t="str">
        <f>+MID(Hoja2!F2,4,20)</f>
        <v>VILLA HERMOSA</v>
      </c>
      <c r="G2" t="str">
        <f>+Hoja2!G2</f>
        <v>Transformación Integral del lugar Intervenido -  Intervención Integral Punto Crítico - Feria Ambiental</v>
      </c>
      <c r="H2" t="str">
        <f>+Hoja2!H2</f>
        <v>Retiro de publicidad: 15 postes, 
Recolección de RCD: 16,5 m3  
Voluminosos : 10 m3
Recuperación de zonas verde: 75 m2
Limpieza de zonas verdes: 70 m2
Lavado de zonas duras: 820 m2
Pintura de juegos infantiles: 4 módulos
Pintura de pasamanos:  12 m lineales
Siembra de jardín: 200 plantas 
Limpieza de cauce de quebrada: 45 m lineales
Rocería: 550 m2 
Pintura de papeleras: 2 unidades
Pintura de postes: 10 postes
captación de residuos pos consumo en marco de feria ambiental.</v>
      </c>
    </row>
    <row r="3" spans="1:8" hidden="1" x14ac:dyDescent="0.2">
      <c r="A3">
        <f>+Hoja2!A3</f>
        <v>203023</v>
      </c>
      <c r="B3" s="10" t="str">
        <f>+MID(+Hoja2!B3,1,10)</f>
        <v>27/08/21</v>
      </c>
      <c r="C3">
        <f>+VLOOKUP(D3,DepMaster!$B:$C,2,FALSE)</f>
        <v>742</v>
      </c>
      <c r="D3" t="str">
        <f>+Hoja2!C3</f>
        <v>Secretaría de Medio Ambiente</v>
      </c>
      <c r="E3" s="12" t="str">
        <f>+MID(Hoja2!F3,1,2)</f>
        <v>10</v>
      </c>
      <c r="F3" t="str">
        <f>+MID(Hoja2!F3,4,20)</f>
        <v>LA CANDELARIA</v>
      </c>
      <c r="G3" t="str">
        <f>+Hoja2!G3</f>
        <v>Transformación Integral del lugar Intervenido - Intervención Puntual  Brigadas Centro -Sector Perpetuo Socorro</v>
      </c>
      <c r="H3" t="str">
        <f>+Hoja2!H3</f>
        <v>Limpieza de sumideros : 55 Unidades 
Retiro de publicidad: 17 postes 
Pintura de bailarinas: 5 bailarinas
Pintura de armarios: 2 armarios
Pintura de bolardos: 6 unidades
Retiro de grafiti de mobiliario: 3 módulos 
Limpieza de grafitis: 80 m2
Lavado de zonas duras: 2000 m2
Recolección de residuos sólidos: 1 m3</v>
      </c>
    </row>
    <row r="4" spans="1:8" hidden="1" x14ac:dyDescent="0.2">
      <c r="A4">
        <f>+Hoja2!A4</f>
        <v>203023</v>
      </c>
      <c r="B4" s="10" t="str">
        <f>+MID(+Hoja2!B4,1,10)</f>
        <v>27/08/21</v>
      </c>
      <c r="C4">
        <f>+VLOOKUP(D4,DepMaster!$B:$C,2,FALSE)</f>
        <v>742</v>
      </c>
      <c r="D4" t="str">
        <f>+Hoja2!C4</f>
        <v>Secretaría de Medio Ambiente</v>
      </c>
      <c r="E4" s="12" t="str">
        <f>+MID(Hoja2!F4,1,2)</f>
        <v>80</v>
      </c>
      <c r="F4" t="str">
        <f>+MID(Hoja2!F4,4,20)</f>
        <v>SAN ANTONIO DE PRADO</v>
      </c>
      <c r="G4" t="str">
        <f>+Hoja2!G4</f>
        <v xml:space="preserve"> Transformación Integral del lugar Intervenido - Sector  Parque Skate- Intervención Integral Punto Crítico </v>
      </c>
      <c r="H4" t="str">
        <f>+Hoja2!H4</f>
        <v>Pintura de bancas: 5 Unidades 
Retiro de grafiti de mobiliario: 3 Unidades
Pintura muros vandalizados: 80 m2 
Rocería: 120 m2
Pintura de pasamanos: 150 m2</v>
      </c>
    </row>
    <row r="5" spans="1:8" hidden="1" x14ac:dyDescent="0.2">
      <c r="A5">
        <f>+Hoja2!A5</f>
        <v>203023</v>
      </c>
      <c r="B5" s="10" t="str">
        <f>+MID(+Hoja2!B5,1,10)</f>
        <v>27/08/21</v>
      </c>
      <c r="C5">
        <f>+VLOOKUP(D5,DepMaster!$B:$C,2,FALSE)</f>
        <v>742</v>
      </c>
      <c r="D5" t="str">
        <f>+Hoja2!C5</f>
        <v>Secretaría de Medio Ambiente</v>
      </c>
      <c r="E5" s="12" t="str">
        <f>+MID(Hoja2!F5,1,2)</f>
        <v>05</v>
      </c>
      <c r="F5" t="str">
        <f>+MID(Hoja2!F5,4,20)</f>
        <v>CASTILLA</v>
      </c>
      <c r="G5" t="str">
        <f>+Hoja2!G5</f>
        <v>Se adecuó estructura hidráulica quebrada La Minita, por hundimiento de vía principal del Barrio Castilla.</v>
      </c>
      <c r="H5">
        <f>+Hoja2!H5</f>
        <v>0</v>
      </c>
    </row>
    <row r="6" spans="1:8" hidden="1" x14ac:dyDescent="0.2">
      <c r="A6">
        <f>+Hoja2!A6</f>
        <v>203023</v>
      </c>
      <c r="B6" s="10" t="str">
        <f>+MID(+Hoja2!B6,1,10)</f>
        <v>27/08/21</v>
      </c>
      <c r="C6">
        <f>+VLOOKUP(D6,DepMaster!$B:$C,2,FALSE)</f>
        <v>742</v>
      </c>
      <c r="D6" t="str">
        <f>+Hoja2!C6</f>
        <v>Secretaría de Medio Ambiente</v>
      </c>
      <c r="E6" s="12" t="str">
        <f>+MID(Hoja2!F6,1,2)</f>
        <v>16</v>
      </c>
      <c r="F6" t="str">
        <f>+MID(Hoja2!F6,4,20)</f>
        <v>BELEN</v>
      </c>
      <c r="G6" t="str">
        <f>+Hoja2!G6</f>
        <v>En el marco de la feria de las Flores, se realizó la sensibilización  en temas de cultura ambiental a 20.000 personas  visitantes de Cerro Nutibara.</v>
      </c>
      <c r="H6" t="str">
        <f>+Hoja2!H6</f>
        <v>20.000 personas</v>
      </c>
    </row>
    <row r="7" spans="1:8" hidden="1" x14ac:dyDescent="0.2">
      <c r="A7">
        <f>+Hoja2!A7</f>
        <v>203023</v>
      </c>
      <c r="B7" s="10" t="str">
        <f>+MID(+Hoja2!B7,1,10)</f>
        <v>27/08/21</v>
      </c>
      <c r="C7">
        <f>+VLOOKUP(D7,DepMaster!$B:$C,2,FALSE)</f>
        <v>742</v>
      </c>
      <c r="D7" t="str">
        <f>+Hoja2!C7</f>
        <v>Secretaría de Medio Ambiente</v>
      </c>
      <c r="E7" s="12" t="str">
        <f>+MID(Hoja2!F7,1,2)</f>
        <v>50</v>
      </c>
      <c r="F7" t="str">
        <f>+MID(Hoja2!F7,4,20)</f>
        <v>PALMITAS</v>
      </c>
      <c r="G7" t="str">
        <f>+Hoja2!G7</f>
        <v>Con cuadrilla de obreros de cobertura se realizó la actividad de adecuación del paso vial y cauce de la quebrada La Volcana, vía Las Palmas que presentaba problemas de insuficiencia hidráulica por acumulación de sedimentos durante el evento del 06 de mayo y que no fue atendida en su totalidad por la firma concesionaria.</v>
      </c>
      <c r="H7">
        <f>+Hoja2!H7</f>
        <v>0</v>
      </c>
    </row>
    <row r="8" spans="1:8" hidden="1" x14ac:dyDescent="0.2">
      <c r="A8">
        <f>+Hoja2!A8</f>
        <v>203023</v>
      </c>
      <c r="B8" s="10" t="str">
        <f>+MID(+Hoja2!B8,1,10)</f>
        <v>27/08/21</v>
      </c>
      <c r="C8">
        <f>+VLOOKUP(D8,DepMaster!$B:$C,2,FALSE)</f>
        <v>742</v>
      </c>
      <c r="D8" t="str">
        <f>+Hoja2!C8</f>
        <v>Secretaría de Medio Ambiente</v>
      </c>
      <c r="E8" s="12" t="str">
        <f>+MID(Hoja2!F8,1,2)</f>
        <v>02</v>
      </c>
      <c r="F8" t="str">
        <f>+MID(Hoja2!F8,4,20)</f>
        <v>SANTA CRUZ</v>
      </c>
      <c r="G8" t="str">
        <f>+Hoja2!G8</f>
        <v>Actividad: Visita puerta a puerta en el barrio la encocada, sensibilización frente al cuidado responsable de animales de compañía.</v>
      </c>
      <c r="H8" t="str">
        <f>+Hoja2!H8</f>
        <v>26 Hogares atendidos</v>
      </c>
    </row>
    <row r="9" spans="1:8" hidden="1" x14ac:dyDescent="0.2">
      <c r="A9">
        <f>+Hoja2!A9</f>
        <v>203023</v>
      </c>
      <c r="B9" s="10" t="str">
        <f>+MID(+Hoja2!B9,1,10)</f>
        <v>27/08/21</v>
      </c>
      <c r="C9">
        <f>+VLOOKUP(D9,DepMaster!$B:$C,2,FALSE)</f>
        <v>742</v>
      </c>
      <c r="D9" t="str">
        <f>+Hoja2!C9</f>
        <v>Secretaría de Medio Ambiente</v>
      </c>
      <c r="E9" s="12" t="str">
        <f>+MID(Hoja2!F9,1,2)</f>
        <v>03</v>
      </c>
      <c r="F9" t="str">
        <f>+MID(Hoja2!F9,4,20)</f>
        <v>MANRIQUE</v>
      </c>
      <c r="G9" t="str">
        <f>+Hoja2!G9</f>
        <v xml:space="preserve">Actividad: Personas sensibilizadas en manejo responsable de animales de compañía. </v>
      </c>
      <c r="H9" t="str">
        <f>+Hoja2!H9</f>
        <v>Personas sensibilizadas: 21</v>
      </c>
    </row>
    <row r="10" spans="1:8" hidden="1" x14ac:dyDescent="0.2">
      <c r="A10">
        <f>+Hoja2!A10</f>
        <v>203023</v>
      </c>
      <c r="B10" s="10" t="str">
        <f>+MID(+Hoja2!B10,1,10)</f>
        <v>27/08/21</v>
      </c>
      <c r="C10">
        <f>+VLOOKUP(D10,DepMaster!$B:$C,2,FALSE)</f>
        <v>742</v>
      </c>
      <c r="D10" t="str">
        <f>+Hoja2!C10</f>
        <v>Secretaría de Medio Ambiente</v>
      </c>
      <c r="E10" s="12" t="str">
        <f>+MID(Hoja2!F10,1,2)</f>
        <v>11</v>
      </c>
      <c r="F10" t="str">
        <f>+MID(Hoja2!F10,4,20)</f>
        <v>LAURELES</v>
      </c>
      <c r="G10" t="str">
        <f>+Hoja2!G10</f>
        <v>Actividad: Encuentro de organizaciones de la comuna 11 con la Subsecretaría de Protección y Bienestar Animal.  Se realizó reunión con una organización de protección animal y dos animalistas independientes de la comuna 11.</v>
      </c>
      <c r="H10" t="str">
        <f>+Hoja2!H10</f>
        <v>Personas: 6</v>
      </c>
    </row>
    <row r="11" spans="1:8" hidden="1" x14ac:dyDescent="0.2">
      <c r="A11">
        <f>+Hoja2!A11</f>
        <v>203023</v>
      </c>
      <c r="B11" s="10" t="str">
        <f>+MID(+Hoja2!B11,1,10)</f>
        <v>27/08/21</v>
      </c>
      <c r="C11">
        <f>+VLOOKUP(D11,DepMaster!$B:$C,2,FALSE)</f>
        <v>742</v>
      </c>
      <c r="D11" t="str">
        <f>+Hoja2!C11</f>
        <v>Secretaría de Medio Ambiente</v>
      </c>
      <c r="E11" s="12" t="str">
        <f>+MID(Hoja2!F11,1,2)</f>
        <v>10</v>
      </c>
      <c r="F11" t="str">
        <f>+MID(Hoja2!F11,4,20)</f>
        <v>LA CANDELARIA</v>
      </c>
      <c r="G11" t="str">
        <f>+Hoja2!G11</f>
        <v>Actividad: Visita semanal plaza la minorista. En articulación con el Centro de Estudios, se visitó 14 locales donde se comercializa animales, se aplicó cuestionario como insumo para elaboración de informe jurídico.</v>
      </c>
      <c r="H11" t="str">
        <f>+Hoja2!H11</f>
        <v>Personas atendidas: 14 personas propietarios</v>
      </c>
    </row>
    <row r="12" spans="1:8" hidden="1" x14ac:dyDescent="0.2">
      <c r="A12">
        <f>+Hoja2!A12</f>
        <v>203023</v>
      </c>
      <c r="B12" s="10" t="str">
        <f>+MID(+Hoja2!B12,1,10)</f>
        <v>27/08/21</v>
      </c>
      <c r="C12">
        <f>+VLOOKUP(D12,DepMaster!$B:$C,2,FALSE)</f>
        <v>742</v>
      </c>
      <c r="D12" t="str">
        <f>+Hoja2!C12</f>
        <v>Secretaría de Medio Ambiente</v>
      </c>
      <c r="E12" s="12" t="str">
        <f>+MID(Hoja2!F12,1,2)</f>
        <v>13</v>
      </c>
      <c r="F12" t="str">
        <f>+MID(Hoja2!F12,4,20)</f>
        <v>SAN JAVIER</v>
      </c>
      <c r="G12" t="str">
        <f>+Hoja2!G12</f>
        <v>Actividad: Personas sensibilizadas en manejo responsable de animales compañía.</v>
      </c>
      <c r="H12" t="str">
        <f>+Hoja2!H12</f>
        <v>Personas sensibilizadas: 21</v>
      </c>
    </row>
    <row r="13" spans="1:8" hidden="1" x14ac:dyDescent="0.2">
      <c r="A13">
        <f>+Hoja2!A13</f>
        <v>203023</v>
      </c>
      <c r="B13" s="10" t="str">
        <f>+MID(+Hoja2!B13,1,10)</f>
        <v>27/08/21</v>
      </c>
      <c r="C13">
        <f>+VLOOKUP(D13,DepMaster!$B:$C,2,FALSE)</f>
        <v>742</v>
      </c>
      <c r="D13" t="str">
        <f>+Hoja2!C13</f>
        <v>Secretaría de Medio Ambiente</v>
      </c>
      <c r="E13" s="12" t="str">
        <f>+MID(Hoja2!F13,1,2)</f>
        <v>70</v>
      </c>
      <c r="F13" t="str">
        <f>+MID(Hoja2!F13,4,20)</f>
        <v>ALTAVISTA</v>
      </c>
      <c r="G13" t="str">
        <f>+Hoja2!G13</f>
        <v>Actividad: Se realizan esterilizaciones externas, entre perros y gatos</v>
      </c>
      <c r="H13" t="str">
        <f>+Hoja2!H13</f>
        <v>Animales atendidos: 10</v>
      </c>
    </row>
    <row r="14" spans="1:8" hidden="1" x14ac:dyDescent="0.2">
      <c r="A14">
        <f>+Hoja2!A14</f>
        <v>203023</v>
      </c>
      <c r="B14" s="10" t="str">
        <f>+MID(+Hoja2!B14,1,10)</f>
        <v>27/08/21</v>
      </c>
      <c r="C14">
        <f>+VLOOKUP(D14,DepMaster!$B:$C,2,FALSE)</f>
        <v>742</v>
      </c>
      <c r="D14" t="str">
        <f>+Hoja2!C14</f>
        <v>Secretaría de Medio Ambiente</v>
      </c>
      <c r="E14" s="12" t="str">
        <f>+MID(Hoja2!F14,1,2)</f>
        <v>70</v>
      </c>
      <c r="F14" t="str">
        <f>+MID(Hoja2!F14,4,20)</f>
        <v>ALTAVISTA</v>
      </c>
      <c r="G14" t="str">
        <f>+Hoja2!G14</f>
        <v>Actividad: Implantación de micro chip a perros y gatos</v>
      </c>
      <c r="H14" t="str">
        <f>+Hoja2!H14</f>
        <v>Animales atendidos: 89</v>
      </c>
    </row>
    <row r="15" spans="1:8" hidden="1" x14ac:dyDescent="0.2">
      <c r="A15">
        <f>+Hoja2!A15</f>
        <v>203023</v>
      </c>
      <c r="B15" s="10" t="str">
        <f>+MID(+Hoja2!B15,1,10)</f>
        <v>27/08/21</v>
      </c>
      <c r="C15">
        <f>+VLOOKUP(D15,DepMaster!$B:$C,2,FALSE)</f>
        <v>753</v>
      </c>
      <c r="D15" t="str">
        <f>+Hoja2!C15</f>
        <v>Gerencia de Corregimientos</v>
      </c>
      <c r="E15" s="12" t="str">
        <f>+MID(Hoja2!F15,1,2)</f>
        <v>90</v>
      </c>
      <c r="F15" t="str">
        <f>+MID(Hoja2!F15,4,20)</f>
        <v>SANTA ELENA</v>
      </c>
      <c r="G15" t="str">
        <f>+Hoja2!G15</f>
        <v xml:space="preserve">Atención de la población por parte del SISBEN en el sector de altos de la Mora del corregimiento Santa Elena. </v>
      </c>
      <c r="H15" t="str">
        <f>+Hoja2!H15</f>
        <v>20 familias que estaban a la espera de la encuesta del SISBEN.</v>
      </c>
    </row>
    <row r="16" spans="1:8" hidden="1" x14ac:dyDescent="0.2">
      <c r="A16">
        <f>+Hoja2!A16</f>
        <v>203023</v>
      </c>
      <c r="B16" s="10" t="str">
        <f>+MID(+Hoja2!B16,1,10)</f>
        <v>27/08/21</v>
      </c>
      <c r="C16">
        <f>+VLOOKUP(D16,DepMaster!$B:$C,2,FALSE)</f>
        <v>753</v>
      </c>
      <c r="D16" t="str">
        <f>+Hoja2!C16</f>
        <v>Gerencia de Corregimientos</v>
      </c>
      <c r="E16" s="12" t="str">
        <f>+MID(Hoja2!F16,1,2)</f>
        <v>90</v>
      </c>
      <c r="F16" t="str">
        <f>+MID(Hoja2!F16,4,20)</f>
        <v>SANTA ELENA</v>
      </c>
      <c r="G16" t="str">
        <f>+Hoja2!G16</f>
        <v xml:space="preserve">Mantenimiento por parte del concesionario de los árboles que se encuentran en los bordes de la carretera Santa Elena con amaneza de caída, como medida de prevención de un incidente en esta vía por esta causa. </v>
      </c>
      <c r="H16">
        <f>+Hoja2!H16</f>
        <v>0</v>
      </c>
    </row>
    <row r="17" spans="1:8" hidden="1" x14ac:dyDescent="0.2">
      <c r="A17">
        <f>+Hoja2!A17</f>
        <v>203023</v>
      </c>
      <c r="B17" s="10" t="str">
        <f>+MID(+Hoja2!B17,1,10)</f>
        <v>27/08/21</v>
      </c>
      <c r="C17">
        <f>+VLOOKUP(D17,DepMaster!$B:$C,2,FALSE)</f>
        <v>753</v>
      </c>
      <c r="D17" t="str">
        <f>+Hoja2!C17</f>
        <v>Gerencia de Corregimientos</v>
      </c>
      <c r="E17" s="12" t="str">
        <f>+MID(Hoja2!F17,1,2)</f>
        <v>50</v>
      </c>
      <c r="F17" t="str">
        <f>+MID(Hoja2!F17,4,20)</f>
        <v>PALMITAS</v>
      </c>
      <c r="G17" t="str">
        <f>+Hoja2!G17</f>
        <v xml:space="preserve">Apertura del Centro Educativo La Aldea corregimiento de San Sebastián de Palmitas. </v>
      </c>
      <c r="H17" t="str">
        <f>+Hoja2!H17</f>
        <v xml:space="preserve">Beneficiara a mas de 200 estudiantes. </v>
      </c>
    </row>
    <row r="18" spans="1:8" hidden="1" x14ac:dyDescent="0.2">
      <c r="A18">
        <f>+Hoja2!A18</f>
        <v>203023</v>
      </c>
      <c r="B18" s="10" t="str">
        <f>+MID(+Hoja2!B18,1,10)</f>
        <v>27/08/21</v>
      </c>
      <c r="C18">
        <f>+VLOOKUP(D18,DepMaster!$B:$C,2,FALSE)</f>
        <v>753</v>
      </c>
      <c r="D18" t="str">
        <f>+Hoja2!C18</f>
        <v>Gerencia de Corregimientos</v>
      </c>
      <c r="E18" s="12" t="str">
        <f>+MID(Hoja2!F18,1,2)</f>
        <v>10</v>
      </c>
      <c r="F18" t="str">
        <f>+MID(Hoja2!F18,4,20)</f>
        <v>LA CANDELARIA</v>
      </c>
      <c r="G18" t="str">
        <f>+Hoja2!G18</f>
        <v xml:space="preserve">Se logro vincular los productores de los 5 corregimientos (Apicultores y Floricultores) con la comuna 10 de Medellín. Generando ventas de los productos y pedagogía frente a los corregimientos de Medellín. </v>
      </c>
      <c r="H18" t="str">
        <f>+Hoja2!H18</f>
        <v xml:space="preserve">Ventas netas para los productores corregimentales por aproximadamente 5.000.0000. 
Mas 10 relaciones comerciales que pueden derivar en procesos de distribución y comercialización.
</v>
      </c>
    </row>
    <row r="19" spans="1:8" hidden="1" x14ac:dyDescent="0.2">
      <c r="A19">
        <f>+Hoja2!A19</f>
        <v>203023</v>
      </c>
      <c r="B19" s="10" t="str">
        <f>+MID(+Hoja2!B19,1,10)</f>
        <v>27/08/21</v>
      </c>
      <c r="C19">
        <f>+VLOOKUP(D19,DepMaster!$B:$C,2,FALSE)</f>
        <v>753</v>
      </c>
      <c r="D19" t="str">
        <f>+Hoja2!C19</f>
        <v>Gerencia de Corregimientos</v>
      </c>
      <c r="E19" s="12" t="str">
        <f>+MID(Hoja2!F19,1,2)</f>
        <v>80</v>
      </c>
      <c r="F19" t="str">
        <f>+MID(Hoja2!F19,4,20)</f>
        <v>SAN ANTONIO DE PRADO</v>
      </c>
      <c r="G19" t="str">
        <f>+Hoja2!G19</f>
        <v>Articular el proceso de autonomía financiera con los colectivos de mujeres y líderes del corregimiento de San Antonio Prado para la conformación del grupo beneficiario del programa.</v>
      </c>
      <c r="H19" t="str">
        <f>+Hoja2!H19</f>
        <v>Conformación del grupo de 25 mujeres a beneficiarse del proceso de autonomía financiera de secretaria de Mujeres.</v>
      </c>
    </row>
    <row r="20" spans="1:8" hidden="1" x14ac:dyDescent="0.2">
      <c r="A20">
        <f>+Hoja2!A20</f>
        <v>203023</v>
      </c>
      <c r="B20" s="10" t="str">
        <f>+MID(+Hoja2!B20,1,10)</f>
        <v>27/08/21</v>
      </c>
      <c r="C20">
        <f>+VLOOKUP(D20,DepMaster!$B:$C,2,FALSE)</f>
        <v>751</v>
      </c>
      <c r="D20" t="str">
        <f>+Hoja2!C20</f>
        <v>Secretaría de Desarrollo Económico</v>
      </c>
      <c r="E20" s="12" t="str">
        <f>+MID(Hoja2!F20,1,2)</f>
        <v>04</v>
      </c>
      <c r="F20" t="str">
        <f>+MID(Hoja2!F20,4,20)</f>
        <v>ARANJUEZ</v>
      </c>
      <c r="G20" t="str">
        <f>+Hoja2!G20</f>
        <v>Se programa acompañamiento por parte de la Oficina Pública de Empleo – OPE, a la Feria de servicios de la EDU en el morro de Moravia para el día 26 de agosto.</v>
      </c>
      <c r="H20" t="str">
        <f>+Hoja2!H20</f>
        <v>sin cifras</v>
      </c>
    </row>
    <row r="21" spans="1:8" x14ac:dyDescent="0.2">
      <c r="A21">
        <f>+Hoja2!A21</f>
        <v>203023</v>
      </c>
      <c r="B21" s="10" t="str">
        <f>+MID(+Hoja2!B21,1,10)</f>
        <v>27/08/21</v>
      </c>
      <c r="C21">
        <f>+VLOOKUP(D21,DepMaster!$B:$C,2,FALSE)</f>
        <v>751</v>
      </c>
      <c r="D21" t="str">
        <f>+Hoja2!C21</f>
        <v>Secretaría de Desarrollo Económico</v>
      </c>
      <c r="E21" s="12" t="str">
        <f>+MID(Hoja2!F21,1,2)</f>
        <v>07</v>
      </c>
      <c r="F21" t="str">
        <f>+MID(Hoja2!F21,4,20)</f>
        <v>ROBLEDO</v>
      </c>
      <c r="G21" t="str">
        <f>+Hoja2!G21</f>
        <v xml:space="preserve">Se realizó el tercer recorrido de validación de las iniciativas del Diplomado en Liderazgo y Gestión del Turismo Comunitario de la ciudad de Medellín, este fue realizado en el Cerro el Volador perteneciente a la Comuna 7 (Robledo), </v>
      </c>
      <c r="H21" t="str">
        <f>+Hoja2!H21</f>
        <v>En el recorrido participaron 4 estudiantes pertenecientes a este territorio.</v>
      </c>
    </row>
    <row r="22" spans="1:8" hidden="1" x14ac:dyDescent="0.2">
      <c r="A22">
        <f>+Hoja2!A22</f>
        <v>203023</v>
      </c>
      <c r="B22" s="10" t="str">
        <f>+MID(+Hoja2!B22,1,10)</f>
        <v>27/08/21</v>
      </c>
      <c r="C22">
        <f>+VLOOKUP(D22,DepMaster!$B:$C,2,FALSE)</f>
        <v>751</v>
      </c>
      <c r="D22" t="str">
        <f>+Hoja2!C22</f>
        <v>Secretaría de Desarrollo Económico</v>
      </c>
      <c r="E22" s="12" t="str">
        <f>+MID(Hoja2!F22,1,2)</f>
        <v>80</v>
      </c>
      <c r="F22" t="str">
        <f>+MID(Hoja2!F22,4,20)</f>
        <v>SAN ANTONIO DE PRADO</v>
      </c>
      <c r="G22" t="str">
        <f>+Hoja2!G22</f>
        <v>Recorrido de validación de la experiencia inmersiva de la Subsecretaría de Turismo, por medio de una aplicación para  brindar acompañamiento al turista en el Corregimiento de San Antonio de Prado.</v>
      </c>
      <c r="H22" t="str">
        <f>+Hoja2!H22</f>
        <v>Sin cifras</v>
      </c>
    </row>
    <row r="23" spans="1:8" hidden="1" x14ac:dyDescent="0.2">
      <c r="A23">
        <f>+Hoja2!A23</f>
        <v>203023</v>
      </c>
      <c r="B23" s="10" t="str">
        <f>+MID(+Hoja2!B23,1,10)</f>
        <v>27/08/21</v>
      </c>
      <c r="C23">
        <f>+VLOOKUP(D23,DepMaster!$B:$C,2,FALSE)</f>
        <v>751</v>
      </c>
      <c r="D23" t="str">
        <f>+Hoja2!C23</f>
        <v>Secretaría de Desarrollo Económico</v>
      </c>
      <c r="E23" s="12" t="str">
        <f>+MID(Hoja2!F23,1,2)</f>
        <v>02</v>
      </c>
      <c r="F23" t="str">
        <f>+MID(Hoja2!F23,4,20)</f>
        <v>SANTA CRUZ</v>
      </c>
      <c r="G23" t="str">
        <f>+Hoja2!G23</f>
        <v xml:space="preserve"> Entendiendo que las actividades realizadas en el territorio generan confianza ciudadana y fortalece los vínculos entre la ciudadanía y la institucionalidad.
Se realizó una socialización  del 20 agosto en Finca la mesa Centro Integral de Familia santa cruz sobre la Microferia de Empleo a llevarse a cabo en la comuna 2. </v>
      </c>
      <c r="H23" t="str">
        <f>+Hoja2!H23</f>
        <v xml:space="preserve">Se contó con la participaron de 50 ciudadanos de Santacruz.
</v>
      </c>
    </row>
    <row r="24" spans="1:8" hidden="1" x14ac:dyDescent="0.2">
      <c r="A24">
        <f>+Hoja2!A24</f>
        <v>203023</v>
      </c>
      <c r="B24" s="10" t="str">
        <f>+MID(+Hoja2!B24,1,10)</f>
        <v>27/08/21</v>
      </c>
      <c r="C24">
        <f>+VLOOKUP(D24,DepMaster!$B:$C,2,FALSE)</f>
        <v>751</v>
      </c>
      <c r="D24" t="str">
        <f>+Hoja2!C24</f>
        <v>Secretaría de Desarrollo Económico</v>
      </c>
      <c r="E24" s="12" t="str">
        <f>+MID(Hoja2!F24,1,2)</f>
        <v>08</v>
      </c>
      <c r="F24" t="str">
        <f>+MID(Hoja2!F24,4,20)</f>
        <v>VILLA HERMOSA</v>
      </c>
      <c r="G24" t="str">
        <f>+Hoja2!G24</f>
        <v>Se continúa con la logística y planeación de la  segunda micro feria de empleo, en  Uva SOL DE Oriente (Villa Hermosa),que se llevara acabo el 27 de agosto. Se estarán ofertando los servicios del programa (registro y actualización de hoja de vida, postulación a vacantes, en lo posible registro de empresas, y entrevistas iniciales con los empresarios).</v>
      </c>
      <c r="H24" t="str">
        <f>+Hoja2!H24</f>
        <v>Sin cifras</v>
      </c>
    </row>
    <row r="25" spans="1:8" hidden="1" x14ac:dyDescent="0.2">
      <c r="A25">
        <f>+Hoja2!A25</f>
        <v>203023</v>
      </c>
      <c r="B25" s="10" t="str">
        <f>+MID(+Hoja2!B25,1,10)</f>
        <v>27/08/21</v>
      </c>
      <c r="C25">
        <f>+VLOOKUP(D25,DepMaster!$B:$C,2,FALSE)</f>
        <v>732</v>
      </c>
      <c r="D25" t="str">
        <f>+Hoja2!C25</f>
        <v>Secretaría de Seguridad y Convivencia</v>
      </c>
      <c r="E25" s="12" t="str">
        <f>+MID(Hoja2!F25,1,2)</f>
        <v>01</v>
      </c>
      <c r="F25" t="str">
        <f>+MID(Hoja2!F25,4,20)</f>
        <v>POPULAR</v>
      </c>
      <c r="G25" t="str">
        <f>+Hoja2!G25</f>
        <v>-	El viernes 20 de agosto, de 8:30 a.m., a 3:00 p.m., en la Institución Educativa Fe y Alegría No. 2, se realizó una jornada de atención y orientación por parte de la Personería de Medellín, la Secretaría de Educación, PRECI, la Gerencia de Etnias, Migración Colombia, entre otros; con el fin de descentralizar los servicios de la Casa de Justicia de Santo Domingo y otros servicios para satisfacer las necesidades de la comunidad en el sector, especialmente en la atención a la población migrante.</v>
      </c>
      <c r="H25" t="str">
        <f>+Hoja2!H25</f>
        <v xml:space="preserve">-	El viernes 20 de agosto, de 8:30 a.m., a 3:00 p.m., en la Institución Educativa Fe y Alegría No. 2, se realizó una jornada de atención y orientación por parte de la Personería de Medellín, la Secretaría de Educación, PRECI, la Gerencia de Etnias, Migración Colombia, entre otros; con el fin de descentralizar los servicios de la Casa de Justicia de Santo Domingo y otros servicios para satisfacer las necesidades de la comunidad en el sector, especialmente en la atención a la población migrante, atendiéndose a 480 personas. </v>
      </c>
    </row>
    <row r="26" spans="1:8" hidden="1" x14ac:dyDescent="0.2">
      <c r="A26">
        <f>+Hoja2!A26</f>
        <v>203023</v>
      </c>
      <c r="B26" s="10" t="str">
        <f>+MID(+Hoja2!B26,1,10)</f>
        <v>27/08/21</v>
      </c>
      <c r="C26">
        <f>+VLOOKUP(D26,DepMaster!$B:$C,2,FALSE)</f>
        <v>732</v>
      </c>
      <c r="D26" t="str">
        <f>+Hoja2!C26</f>
        <v>Secretaría de Seguridad y Convivencia</v>
      </c>
      <c r="E26" s="12" t="str">
        <f>+MID(Hoja2!F26,1,2)</f>
        <v>02</v>
      </c>
      <c r="F26" t="str">
        <f>+MID(Hoja2!F26,4,20)</f>
        <v>SANTA CRUZ</v>
      </c>
      <c r="G26" t="str">
        <f>+Hoja2!G26</f>
        <v xml:space="preserve">-	El 20 de agosto en el barrio La Rosa sector La Encocada, se llevó a cabo la socialización de Código Nacional de Seguridad y Convivencia enfocada en la tenencia responsable de animales de compañía, está actividad estuvo articulada con la Subsecretaría de Protección Animal. </v>
      </c>
      <c r="H26" t="str">
        <f>+Hoja2!H26</f>
        <v>-	El 20 de agosto en el barrio La Rosa sector La Encocada, se llevó a cabo la socialización de Código Nacional de Seguridad y Convivencia enfocada en la tenencia responsable de animales de compañía, está actividad estuvo articulada con la Subsecretaría de Protección Animal. Se impactaron 100 personas.</v>
      </c>
    </row>
    <row r="27" spans="1:8" hidden="1" x14ac:dyDescent="0.2">
      <c r="A27">
        <f>+Hoja2!A27</f>
        <v>203023</v>
      </c>
      <c r="B27" s="10" t="str">
        <f>+MID(+Hoja2!B27,1,10)</f>
        <v>27/08/21</v>
      </c>
      <c r="C27">
        <f>+VLOOKUP(D27,DepMaster!$B:$C,2,FALSE)</f>
        <v>732</v>
      </c>
      <c r="D27" t="str">
        <f>+Hoja2!C27</f>
        <v>Secretaría de Seguridad y Convivencia</v>
      </c>
      <c r="E27" s="12" t="str">
        <f>+MID(Hoja2!F27,1,2)</f>
        <v>03</v>
      </c>
      <c r="F27" t="str">
        <f>+MID(Hoja2!F27,4,20)</f>
        <v>MANRIQUE</v>
      </c>
      <c r="G27" t="str">
        <f>+Hoja2!G27</f>
        <v xml:space="preserve">-	Se realizó campaña pedagógica para prevenir el hurto a motociclistas en el sector de palos verdes.
-	El 18 de agosto en el barrio San José de la Cima 1, se realizó socialización de Código Nacional de Seguridad y Convivencia buscando mitigar comportamientos contrarios a la misma.
</v>
      </c>
      <c r="H27" t="str">
        <f>+Hoja2!H27</f>
        <v>-	El 18 de agosto en el barrio San José de la Cima 1, se realizó socialización de Código Nacional de Seguridad y Convivencia buscando mitigar comportamientos contrarios a la misma. Participaron 12 personas.</v>
      </c>
    </row>
    <row r="28" spans="1:8" hidden="1" x14ac:dyDescent="0.2">
      <c r="A28">
        <f>+Hoja2!A28</f>
        <v>203023</v>
      </c>
      <c r="B28" s="10" t="str">
        <f>+MID(+Hoja2!B28,1,10)</f>
        <v>27/08/21</v>
      </c>
      <c r="C28">
        <f>+VLOOKUP(D28,DepMaster!$B:$C,2,FALSE)</f>
        <v>732</v>
      </c>
      <c r="D28" t="str">
        <f>+Hoja2!C28</f>
        <v>Secretaría de Seguridad y Convivencia</v>
      </c>
      <c r="E28" s="12" t="str">
        <f>+MID(Hoja2!F28,1,2)</f>
        <v>04</v>
      </c>
      <c r="F28" t="str">
        <f>+MID(Hoja2!F28,4,20)</f>
        <v>ARANJUEZ</v>
      </c>
      <c r="G28" t="str">
        <f>+Hoja2!G28</f>
        <v xml:space="preserve">-	Se continúan con las actividades educativas de prevención de hurto a personas y a establecimientos en la comuna.
-	Se realizaron 4 jornadas diarias de Promoción de Rutas de Atención y Mecanismos de Defensa de los DDHH y la Convivencia, durante la semana del 16 al 22 de agosto, de 9:00 a.m., a 3:00 p.m., en mesas de atención ubicadas al lado de la puerta de acceso principal de la Casa de Justicia El Bosque.
-	El 21 de agosto en el barrio Brasilia se realizó el taller de promoción de la convivencia con niños y niñas del sector, fortaleciendo el respeto por la diferencia como base fundamental de la misma, buscando generar compromiso ciudadano para reducir y mitigar comportamientos contrarios a la convivencia. 
</v>
      </c>
      <c r="H28" t="str">
        <f>+Hoja2!H28</f>
        <v xml:space="preserve">-	Se realizaron 4 jornadas diarias de Promoción de Rutas de Atención y Mecanismos de Defensa de los DDHH y la Convivencia, durante la semana del 16 al 22 de agosto, de 9:00 a.m., a 3:00 p.m., en mesas de atención ubicadas al lado de la puerta de acceso principal de la Casa de Justicia El Bosque, beneficiándose 221 personas. 
-	El 21 de agosto en el barrio Brasilia se realizó el taller de promoción de la convivencia con niños y niñas del sector, fortaleciendo el respeto por la diferencia como base fundamental de la misma, buscando generar compromiso ciudadano para reducir y mitigar comportamientos contrarios a la convivencia. Personas impactadas: 50 </v>
      </c>
    </row>
    <row r="29" spans="1:8" hidden="1" x14ac:dyDescent="0.2">
      <c r="A29">
        <f>+Hoja2!A29</f>
        <v>203023</v>
      </c>
      <c r="B29" s="10" t="str">
        <f>+MID(+Hoja2!B29,1,10)</f>
        <v>27/08/21</v>
      </c>
      <c r="C29">
        <f>+VLOOKUP(D29,DepMaster!$B:$C,2,FALSE)</f>
        <v>732</v>
      </c>
      <c r="D29" t="str">
        <f>+Hoja2!C29</f>
        <v>Secretaría de Seguridad y Convivencia</v>
      </c>
      <c r="E29" s="12" t="str">
        <f>+MID(Hoja2!F29,1,2)</f>
        <v>05</v>
      </c>
      <c r="F29" t="str">
        <f>+MID(Hoja2!F29,4,20)</f>
        <v>CASTILLA</v>
      </c>
      <c r="G29" t="str">
        <f>+Hoja2!G29</f>
        <v xml:space="preserve">- Se realizó el desmonte del kiosko  utilizado para venta de estupefacientes en el barrio Toscana, con esta intervención se elimina renta criminal de aproximadamente 18 millones de pesos, valor por el cual la estructura delincuencial trataba de vender este punto (espacio público) con la construcción ilegal. En este operativo intervienen PONAL, espacio público y Emvarias. La Subsecretaría de Gobierno Local y Convivencia en adelante se encargará de la articulación con Área Metropolitana del Valle de Aburrá y Secretaría de Medio Ambiente para la siembra de árboles en el espacio y con ello evitar que se convierta en punto crítico. 
-	Intervención en espacio público utilizado para renta criminal de estructura delincuencial en el barrio Girardot, en este operativo interviene: PONAL y las Secretarías de Movilidad y Gobierno. La intervención posibilitó que movilidad realizara el retiro de 6 camiones y un automóvil.  Los particulares recogieron 3 camiones y un bus. Los escombros dispuestos por incipiente depósito fueron recogidos por el dueño. Adicional se tiene información que este parqueadero ilegal generaba una renta mensual de aproximadamente 10 millones de pesos, renta que se elimina con el operativo realizado. Se proyecta para este punto intervención por parte del CAI La María, quienes reforzará ronda de Policía y la Subsecretaría de Gobierno Local y Convivencia inicia intervención pedagógica con vecinos para mitigar próximos parqueos y articulación Área Metropolitana del Valle de Aburrá y Secretaría de Medio Ambiente para siembra de árboles en el espacio y con ello evitar que se convierta en punto crítico. 
-	Se lleva a cabo Comité Operativo de comuna con participación de comandante de distrito, comandante y subcomandante de estación donde se logran focalizar puntos críticos y programar operativos de estupefacientes y renta criminal y campañas de prevención de hurtos para el barrio Tejelo y Tricentenario. 
-	Se lleva a cabo operativo de seguimiento en sector de Gratamira, desde donde se verifica el cumplimiento de requisitos establecidos para comerciantes en intervención realizada el 30 de julio. 
-	El 18 de agosto en el barrio Girardot, se realizó socialización de Código Nacional de Seguridad y Convivencia, enfocado en el uso indebido del espacio público, con el propósito de hacer un llamado a la comunidad al respeto por el mismo, dejando claro las consecuencias pedagógicas y económicas que conlleva el incumplimiento de la norma.
</v>
      </c>
      <c r="H29" t="str">
        <f>+Hoja2!H29</f>
        <v>-	El 18 de agosto en el barrio Girardot, se realizó socialización de Código Nacional de Seguridad y Convivencia, enfocado en el uso indebido del espacio público, con el propósito de hacer un llamado a la comunidad al respeto por el mismo, dejando claro las consecuencias pedagógicas y económicas que conlleva el incumplimiento de la norma. Se impactaron 50 ciudadanos.</v>
      </c>
    </row>
    <row r="30" spans="1:8" hidden="1" x14ac:dyDescent="0.2">
      <c r="A30">
        <f>+Hoja2!A30</f>
        <v>203023</v>
      </c>
      <c r="B30" s="10" t="str">
        <f>+MID(+Hoja2!B30,1,10)</f>
        <v>27/08/21</v>
      </c>
      <c r="C30">
        <f>+VLOOKUP(D30,DepMaster!$B:$C,2,FALSE)</f>
        <v>732</v>
      </c>
      <c r="D30" t="str">
        <f>+Hoja2!C30</f>
        <v>Secretaría de Seguridad y Convivencia</v>
      </c>
      <c r="E30" s="12" t="str">
        <f>+MID(Hoja2!F30,1,2)</f>
        <v>06</v>
      </c>
      <c r="F30" t="str">
        <f>+MID(Hoja2!F30,4,20)</f>
        <v>DOCE DE OCTUBRE</v>
      </c>
      <c r="G30" t="str">
        <f>+Hoja2!G30</f>
        <v xml:space="preserve">-	Se realizó operativo de seguridad articulado con Policía PRECI, y Secretaría de Movilidad, en el operativo se logra inmovilizar 10 motocicletas, varias armas blancas y se realizan 2 comparendos.
-	Se logra solucionar queja ciudadana por ruido generado dos días continuos, la Policía realizó presencia hasta establecer un acuerdo con las personas.
-	Se confirma el grupo de comerciantes y se articula con la Policía PRECI para realizar actividades de prevención en hurto, extorsión, reportes de condiciones o sospecha y atención de gobierno local
-	Intervención Comercio – Chatarrearía 
-	El 19 de agosto en el Doce de octubre en el desarrollo de la Feria de Servicios, se realizó estrategia "Dale Sentido a la Vida: Vive y Convive" donde se deja un mensaje a la comunidad de la importancia de controlar las emociones para el fortalecimiento de la convivencia en el territorio, identificando los diferentes comportamientos y actitudes en el relacionamiento con el entorno. 
</v>
      </c>
      <c r="H30" t="str">
        <f>+Hoja2!H30</f>
        <v>-	El 19 de agosto en el Doce de octubre en el desarrollo de la Feria de Servicios, se realizó estrategia "Dale Sentido a la Vida: Vive y Convive" donde se deja un mensaje a la comunidad de la importancia de controlar las emociones para el fortalecimiento de la convivencia en el territorio, identificando los diferentes comportamientos y actitudes en el relacionamiento con el entorno. Se impactaron  100 personas.</v>
      </c>
    </row>
    <row r="31" spans="1:8" x14ac:dyDescent="0.2">
      <c r="A31">
        <f>+Hoja2!A31</f>
        <v>203023</v>
      </c>
      <c r="B31" s="10" t="str">
        <f>+MID(+Hoja2!B31,1,10)</f>
        <v>27/08/21</v>
      </c>
      <c r="C31">
        <f>+VLOOKUP(D31,DepMaster!$B:$C,2,FALSE)</f>
        <v>732</v>
      </c>
      <c r="D31" t="str">
        <f>+Hoja2!C31</f>
        <v>Secretaría de Seguridad y Convivencia</v>
      </c>
      <c r="E31" s="12" t="str">
        <f>+MID(Hoja2!F31,1,2)</f>
        <v>07</v>
      </c>
      <c r="F31" t="str">
        <f>+MID(Hoja2!F31,4,20)</f>
        <v>ROBLEDO</v>
      </c>
      <c r="G31" t="str">
        <f>+Hoja2!G31</f>
        <v xml:space="preserve">-	Se hará una jornada de sensibilización del uso inadecuado del espacio público donde hay carpas y puestos muy extendidos en el sector de Robledo La Campiña.
-	El 15 de agosto se desarrolló la socialización del Código Nacional de Seguridad y Convivencia en el sector de Villas de Santa Catalina usando para ello el Concéntrese de la Unidad de Convivencia. En articulación con la Policía de Prevención y Educación Ciudadana con su estrategia Policía de Vecindario y con la mesa de trabajo del sector para promocionar la sana convivencia ciudadana, haciendo énfasis en la importancia del respeto para la construcción colectiva de cultura ciudadana. 
</v>
      </c>
      <c r="H31" t="str">
        <f>+Hoja2!H31</f>
        <v>-	El 15 de agosto se desarrolló la socialización del Código Nacional de Seguridad y Convivencia en el sector de Villas de Santa Catalina usando para ello el Concéntrese de la Unidad de Convivencia. En articulación con la Policía de Prevención y Educación Ciudadana con su estrategia Policía de Vecindario y con la mesa de trabajo del sector para promocionar la sana convivencia ciudadana, haciendo énfasis en la importancia del respeto para la construcción colectiva de cultura ciudadana. Con la participación de 33 ciudadanos.</v>
      </c>
    </row>
    <row r="32" spans="1:8" hidden="1" x14ac:dyDescent="0.2">
      <c r="A32">
        <f>+Hoja2!A32</f>
        <v>203023</v>
      </c>
      <c r="B32" s="10" t="str">
        <f>+MID(+Hoja2!B32,1,10)</f>
        <v>27/08/21</v>
      </c>
      <c r="C32">
        <f>+VLOOKUP(D32,DepMaster!$B:$C,2,FALSE)</f>
        <v>732</v>
      </c>
      <c r="D32" t="str">
        <f>+Hoja2!C32</f>
        <v>Secretaría de Seguridad y Convivencia</v>
      </c>
      <c r="E32" s="12" t="str">
        <f>+MID(Hoja2!F32,1,2)</f>
        <v>08</v>
      </c>
      <c r="F32" t="str">
        <f>+MID(Hoja2!F32,4,20)</f>
        <v>VILLA HERMOSA</v>
      </c>
      <c r="G32" t="str">
        <f>+Hoja2!G32</f>
        <v>-	El 19 de agosto en el sector Manzanares del barrio El Pinal en articulación interinstitucional, se logra la intervención de punto crítico de mala disposición de residuo, escombros y otros desechos. Durante la jornada se realizó descentralización, ornato y aseo, recolección de residuos posconsumo y sensibilización respecto a los comportamientos contrarios a la convivencia que establece el artículo 111 de la ley 1801 de 2016. Participaron de la jornada: la Unidad de Convivencia Ciudadana, la Secretaría de Medio Ambiente, Salud, Gobierno, Policía Ambiental, Emvarias. .</v>
      </c>
      <c r="H32" t="str">
        <f>+Hoja2!H32</f>
        <v>-	El 19 de agosto en el sector Manzanares del barrio El Pinal en articulación interinstitucional, se realizó la intervención de punto crítico de mala disposición de residuo, escombros y otros desechos. Durante la jornada se realizó descentralización, ornato y aseo, recolección de residuos posconsumo y sensibilización respecto a los comportamientos contrarios a la convivencia que establece el artículo 111 de la ley 1801 de 2016. Participaron de la jornada: la Unidad de Convivencia Ciudadana, la Secretaría de Medio Ambiente, Salud, Gobierno, Policía Ambiental, Emvarias. Se visitaron 120 viviendas e impactaron 360 personas.</v>
      </c>
    </row>
    <row r="33" spans="1:8" hidden="1" x14ac:dyDescent="0.2">
      <c r="A33">
        <f>+Hoja2!A33</f>
        <v>203023</v>
      </c>
      <c r="B33" s="10" t="str">
        <f>+MID(+Hoja2!B33,1,10)</f>
        <v>27/08/21</v>
      </c>
      <c r="C33">
        <f>+VLOOKUP(D33,DepMaster!$B:$C,2,FALSE)</f>
        <v>732</v>
      </c>
      <c r="D33" t="str">
        <f>+Hoja2!C33</f>
        <v>Secretaría de Seguridad y Convivencia</v>
      </c>
      <c r="E33" s="12" t="str">
        <f>+MID(Hoja2!F33,1,2)</f>
        <v>10</v>
      </c>
      <c r="F33" t="str">
        <f>+MID(Hoja2!F33,4,20)</f>
        <v>LA CANDELARIA</v>
      </c>
      <c r="G33" t="str">
        <f>+Hoja2!G33</f>
        <v xml:space="preserve">-	Se realizó mantenimiento de módulos vandalizados durante las protestas ubicados en la Av. Oriental y Plaza Minorista. 
-	El 18 de agosto en el barrio San Benito, se presentó la oferta de la Unidad de Convivencia al Consejo Administrativo de la Plaza Minorista. 
-	El 20 de agosto en el barrio San Benito se realizaron encuentros comunitarios, se socializaron los diferentes hechos contrario a la convivencia en el marco de la Ley 1801 de 2016 que se presentan en el sector, se proyecta las diferentes acciones que se han realizado en dicha zona, se realiza campaña con Emvarias en temas de residuos, uso indebido del Espacio Público, y prácticas para ser buen vecino. Se genera el compromiso de seguir realizando sensibilización en los establecimientos de comercios que están generando mala destinación de residuos. Acompañan en las acciones realizadas: el Comandante de la Minorista, la Secretaría de Movilidad, la Inspección de Policía 10C, Preci con 3 unidades, la JAC y los delegados de la Universidad. 
</v>
      </c>
      <c r="H33" t="str">
        <f>+Hoja2!H33</f>
        <v>-	El 18 de agosto en el barrio San Benito, se presentó la oferta de la Unidad de Convivencia al Consejo Administrativo de la Plaza Minorista. Participaron de esta reunión 32 personas.
-	El 20 de agosto en el barrio San Benito se realizaron encuentros comunitarios, se socializaron los diferentes hechos contrario a la convivencia en el marco de la Ley 1801 de 2016 que se presentan en el sector, se proyecta las diferentes acciones que se han realizado en dicha zona, se realiza campaña con Emvarias en temas de residuos, uso indebido del Espacio Público, y prácticas para ser buen vecino. Se genera el compromiso de seguir realizando sensibilización en los establecimientos de comercios que están generando mala destinación de residuos. Acompañan en las acciones realizadas: el Comandante de la Minorista, la Secretaría de Movilidad, la Inspección de Policía 10C, Preci con 3 unidades, la JAC y los delegados de la Universidad. Se impactaron 25 personas.</v>
      </c>
    </row>
    <row r="34" spans="1:8" hidden="1" x14ac:dyDescent="0.2">
      <c r="A34">
        <f>+Hoja2!A34</f>
        <v>203023</v>
      </c>
      <c r="B34" s="10" t="str">
        <f>+MID(+Hoja2!B34,1,10)</f>
        <v>27/08/21</v>
      </c>
      <c r="C34">
        <f>+VLOOKUP(D34,DepMaster!$B:$C,2,FALSE)</f>
        <v>732</v>
      </c>
      <c r="D34" t="str">
        <f>+Hoja2!C34</f>
        <v>Secretaría de Seguridad y Convivencia</v>
      </c>
      <c r="E34" s="12" t="str">
        <f>+MID(Hoja2!F34,1,2)</f>
        <v>11</v>
      </c>
      <c r="F34" t="str">
        <f>+MID(Hoja2!F34,4,20)</f>
        <v>LAURELES</v>
      </c>
      <c r="G34" t="str">
        <f>+Hoja2!G34</f>
        <v xml:space="preserve">-	El grupo de aseo y ornato realizó actividades de limpieza y pintura donde se borraron pintas y/o grafitis en diferentes puntos estratégicos que se produjeron durante las protestas de meses anteriores. 
-	Se realizó plan de prevención contra el hurto en los sectores priorizados de la comuna, en el cual se efectuó de manera móvil junto a Policía Nacional, Movilidad y Espacio Público. 
-	Plan de Control de Habitantes de Calle en articulación con la Secretaría de Inclusión Social, Familia y DDHH y Policía Nacional. 
-	Sensibilización con Secretaría de Inclusión Social, Familia y DDHH y Policía Nacional frente a las líneas de atención ante procesos de inseguridad en el sector de la 80 desde Colombia hasta estación Floresta. 
-	Intervención en el sector del Velódromo por problemáticas de seguridad y convivencia, en el cual participó Personería y la Gerencia de Diversidad
-	Intervención integral en la carrera 70 para lograr mitigar problemáticas de seguridad del sector, en articulación con Policía Nacional y la Secretaría de Movilidad
</v>
      </c>
      <c r="H34">
        <f>+Hoja2!H34</f>
        <v>0</v>
      </c>
    </row>
    <row r="35" spans="1:8" hidden="1" x14ac:dyDescent="0.2">
      <c r="A35">
        <f>+Hoja2!A35</f>
        <v>203023</v>
      </c>
      <c r="B35" s="10" t="str">
        <f>+MID(+Hoja2!B35,1,10)</f>
        <v>27/08/21</v>
      </c>
      <c r="C35">
        <f>+VLOOKUP(D35,DepMaster!$B:$C,2,FALSE)</f>
        <v>732</v>
      </c>
      <c r="D35" t="str">
        <f>+Hoja2!C35</f>
        <v>Secretaría de Seguridad y Convivencia</v>
      </c>
      <c r="E35" s="12" t="str">
        <f>+MID(Hoja2!F35,1,2)</f>
        <v>12</v>
      </c>
      <c r="F35" t="str">
        <f>+MID(Hoja2!F35,4,20)</f>
        <v>LA AMERICA</v>
      </c>
      <c r="G35" t="str">
        <f>+Hoja2!G35</f>
        <v xml:space="preserve">-	El 18 de agosto en articulación con la Secretaría de Inclusión Social, Familia y DDHH y la Secretaría de Cultura, se realizó la estrategia “Dale sentido a la vida, vive y convive”, sobre la base del manejo de emociones. La actividad fue dirigida a habitante de calle, los cuales participaron activamente y dieron a conocer el valor que querían sembrar en su vida. </v>
      </c>
      <c r="H35" t="str">
        <f>+Hoja2!H35</f>
        <v>-	El 18 de agosto en articulación con la Secretaría de Inclusión Social, Familia y DDHH y la Secretaría de Cultura, se realizó la estrategia “Dale sentido a la vida, vive y convive”, sobre la base del manejo de emociones. La actividad fue dirigida a habitante de calle, los cuales participaron activamente y dieron a conocer el valor que querían sembrar en su vida. Se impactaron 30 personas.</v>
      </c>
    </row>
    <row r="36" spans="1:8" hidden="1" x14ac:dyDescent="0.2">
      <c r="A36">
        <f>+Hoja2!A36</f>
        <v>203023</v>
      </c>
      <c r="B36" s="10" t="str">
        <f>+MID(+Hoja2!B36,1,10)</f>
        <v>27/08/21</v>
      </c>
      <c r="C36">
        <f>+VLOOKUP(D36,DepMaster!$B:$C,2,FALSE)</f>
        <v>732</v>
      </c>
      <c r="D36" t="str">
        <f>+Hoja2!C36</f>
        <v>Secretaría de Seguridad y Convivencia</v>
      </c>
      <c r="E36" s="12" t="str">
        <f>+MID(Hoja2!F36,1,2)</f>
        <v>14</v>
      </c>
      <c r="F36" t="str">
        <f>+MID(Hoja2!F36,4,20)</f>
        <v>EL POBLADO</v>
      </c>
      <c r="G36" t="str">
        <f>+Hoja2!G36</f>
        <v xml:space="preserve">-	Se realizará un recorrido por los alrededores de Monterrey Carrera 48 en el Poblado para el control de ventas y una posible reubicación de los venteros por inconvenientes con el Centro Comercial.
-	Se realizó el plan Lleras donde se priorizaron las problemáticas más relevantes, actividad de explotación sexual y laboral de NNJA, la mendicidad de menores de edad y venteros ambulantes.
-	El 18 de agosto en el barrio Provenza en el marco del mes del adulto mayor, se realizó encuentro con un grupo de hombres y mujeres de la comuna, bajo la estrategia "Dale sentido a la vida, vive y convive". Una oportunidad para reconocer en los asistentes aquellas acciones que dan significado a la vida y a la convivencia. 
-	El 19 de agosto, el equipo de Convive la Noche realizó visitas a los establecimientos que están solicitando extensión de horario con la finalidad de verificar la actividad que están realizando en el momento. Se verifica si cumplen con el espacio para venta y consumo de licor y la documentación contemplada en la Ley 1801 del 2016, se hace mediciones de ruido dejando las recomendaciones de los decibeles permitidos. Se  continúa con la estrategia "Parche seguro" y con la entrega de las piezas pedagógicas referentes al autocuidado y se sensibiliza a los comerciantes sobre la importancia de seguir con el cumplimiento estricto de las normas de bioseguridad. Se hicieron 4 visitas y 4 mediciones. 
</v>
      </c>
      <c r="H36" t="str">
        <f>+Hoja2!H36</f>
        <v xml:space="preserve">-	El 18 de agosto en el barrio Provenza en el marco del mes del adulto mayor, se realizó encuentro con un grupo de hombres y mujeres de la comuna, bajo la estrategia "Dale sentido a la vida, vive y convive". Una oportunidad para reconocer en los asistentes aquellas acciones que dan significado a la vida y a la convivencia. Participaron 60 personas. </v>
      </c>
    </row>
    <row r="37" spans="1:8" hidden="1" x14ac:dyDescent="0.2">
      <c r="A37">
        <f>+Hoja2!A37</f>
        <v>203023</v>
      </c>
      <c r="B37" s="10" t="str">
        <f>+MID(+Hoja2!B37,1,10)</f>
        <v>27/08/21</v>
      </c>
      <c r="C37">
        <f>+VLOOKUP(D37,DepMaster!$B:$C,2,FALSE)</f>
        <v>732</v>
      </c>
      <c r="D37" t="str">
        <f>+Hoja2!C37</f>
        <v>Secretaría de Seguridad y Convivencia</v>
      </c>
      <c r="E37" s="12" t="str">
        <f>+MID(Hoja2!F37,1,2)</f>
        <v>16</v>
      </c>
      <c r="F37" t="str">
        <f>+MID(Hoja2!F37,4,20)</f>
        <v>BELEN</v>
      </c>
      <c r="G37" t="str">
        <f>+Hoja2!G37</f>
        <v xml:space="preserve">-	Se avanzó en reunión con comerciantes ubicados sobre la Carrera 80 (desde Robledo hasta Guayabal), en articulación con promotores de Gobierno y Gestores de Seguridad de las Comunas 11, 12 y 16, para realizar Consejo de Convivencia de los cuales saldrán acciones y compromisos concretos en materia de Seguridad, el hurto y las extorsiones que son los principales problemas.  
-	En alianza con PRECI, se realizó Campaña de prevención  de hurto (en todas sus modalidades) alrededor del parque de Belén. 
-	Trabajo articulado con PRECI en el sector de Morro Corazón donde se realizará una campaña de prevención del hurto, adicional tendremos unas actividades con los niños del sector llamada, Carrusel por mis derechos, por medio de la cual se pretende prevenir el uso e instrumentalización de menores.
-	El 17 de agosto se realiza jornada y campaña de sensibilización, en articulación con la secretaria de Gestión y Control Territorial con el fin mitigar el impacto de la estafa inmobiliaria y especialmente las infracciones urbanísticas como acción contraria a la convivencia, problemática que en la actualidad afecta el sector. 
-	Se realiza recorrido con la campaña "Pilas, compra legal" de la Secretaria de Gestión y Control Territorial en el Barrio El Rincón, donde se sensibiliza sobre las acciones para la adquisición de inmuebles y la legalidad de las construcciones y reformas a través de la licencia de construcción. La actividad se desarrolla dentro del barrio en la vía pública, puerta a puerta y establecimientos de comercio, realizando difusión y entrega de material informativo en la temática descrita. 
-	El 19 de agosto, el equipo de Convive la Noche realizó visitas a los establecimientos que están solicitando extensión de horario con la finalidad de verificar la actividad que están realizando en el momento. Se verifica si cumplen con el espacio para venta y consumo de licor y la documentación contemplada en la Ley 1801 del 2016, se hace mediciones de ruido dejando las recomendaciones de los decibeles permitidos. Se  continúa con la estrategia "Parche seguro" y con la entrega de las piezas pedagógicas referentes al autocuidado y se sensibiliza a los comerciantes sobre la importancia de seguir con el cumplimiento estricto de las normas de bioseguridad. 
</v>
      </c>
      <c r="H37" t="str">
        <f>+Hoja2!H37</f>
        <v xml:space="preserve">-	Se realiza recorrido con la campaña "Pilas, compra legal" de la Secretaria de Gestión y Control Territorial en el Barrio El Rincón, donde se sensibiliza sobre las acciones para la adquisición de inmuebles y la legalidad de las construcciones y reformas a través de la licencia de construcción. La actividad se desarrolla dentro del barrio en la vía pública, puerta a puerta y establecimientos de comercio, realizando difusión y entrega de material informativo en la temática descrita. Se impactaron 120 personas.
-	El 19 de agosto, el equipo de Convive la Noche realizó visitas a los establecimientos que están solicitando extensión de horario con la finalidad de verificar la actividad que están realizando en el momento. Se verifica si cumplen con el espacio para venta y consumo de licor y la documentación contemplada en la Ley 1801 del 2016, se hace mediciones de ruido dejando las recomendaciones de los decibeles permitidos. Se  continúa con la estrategia "Parche seguro" y con la entrega de las piezas pedagógicas referentes al autocuidado y se sensibiliza a los comerciantes sobre la importancia de seguir con el cumplimiento estricto de las normas de bioseguridad. Se hicieron 4 visitas y 4 mediciones. </v>
      </c>
    </row>
    <row r="38" spans="1:8" hidden="1" x14ac:dyDescent="0.2">
      <c r="A38">
        <f>+Hoja2!A38</f>
        <v>203023</v>
      </c>
      <c r="B38" s="10" t="str">
        <f>+MID(+Hoja2!B38,1,10)</f>
        <v>27/08/21</v>
      </c>
      <c r="C38">
        <f>+VLOOKUP(D38,DepMaster!$B:$C,2,FALSE)</f>
        <v>732</v>
      </c>
      <c r="D38" t="str">
        <f>+Hoja2!C38</f>
        <v>Secretaría de Seguridad y Convivencia</v>
      </c>
      <c r="E38" s="12" t="str">
        <f>+MID(Hoja2!F38,1,2)</f>
        <v>60</v>
      </c>
      <c r="F38" t="str">
        <f>+MID(Hoja2!F38,4,20)</f>
        <v>SAN CRISTOBAL</v>
      </c>
      <c r="G38" t="str">
        <f>+Hoja2!G38</f>
        <v xml:space="preserve">-	El 20 de agosto en la vereda La Palma se realizó en compañía de la Secretaría de Gestión y Control Territorial un recorrido pedagógico, sensibilizando a la comunidad sobre las infracciones urbanísticas, el Código Nacional de Seguridad y Convivencia y las estafas inmobiliarias. 
-	Comuna Nuevo Occidente: 18 de agosto, en la Urbanización la Aurora se realizó sensibilización a tenderos que venden licores y escuchan música a altos decibeles, perturbando la tranquilidad de la comunidad. Se busca concientizar a los comerciantes sobre la importancia de vivir en sana Convivencia sin tanta contaminación auditiva. 
</v>
      </c>
      <c r="H38" t="str">
        <f>+Hoja2!H38</f>
        <v xml:space="preserve">-	El 20 de agosto en la vereda La Palma se realizó en compañía de la Secretaría de Gestión y Control Territorial un recorrido pedagógico, sensibilizando a la comunidad sobre las infracciones urbanísticas, el Código Nacional de Seguridad y Convivencia y las estafas inmobiliarias. Se impactaron 40 personas. 
-	Comuna Nuevo Occidente: 18 de agosto, en la Urbanización la Aurora se realizó sensibilización a tenderos que venden licores y escuchan música a altos decibeles, perturbando la tranquilidad de la comunidad. Se busca concientizar a los comerciantes sobre la importancia de vivir en sana Convivencia sin tanta contaminación auditiva. Se impactaron 17 personas.
</v>
      </c>
    </row>
    <row r="39" spans="1:8" hidden="1" x14ac:dyDescent="0.2">
      <c r="A39">
        <f>+Hoja2!A39</f>
        <v>203023</v>
      </c>
      <c r="B39" s="10" t="str">
        <f>+MID(+Hoja2!B39,1,10)</f>
        <v>27/08/21</v>
      </c>
      <c r="C39">
        <f>+VLOOKUP(D39,DepMaster!$B:$C,2,FALSE)</f>
        <v>732</v>
      </c>
      <c r="D39" t="str">
        <f>+Hoja2!C39</f>
        <v>Secretaría de Seguridad y Convivencia</v>
      </c>
      <c r="E39" s="12" t="str">
        <f>+MID(Hoja2!F39,1,2)</f>
        <v>70</v>
      </c>
      <c r="F39" t="str">
        <f>+MID(Hoja2!F39,4,20)</f>
        <v>ALTAVISTA</v>
      </c>
      <c r="G39" t="str">
        <f>+Hoja2!G39</f>
        <v xml:space="preserve">-	El 19 de agosto en el barrio Nuevo Amanecer, con la articulación de la Secretaría de las Mujeres, se realizó activación de Espacios Seguros para las mujeres y las niñas como forma de prevención de la violencia por medio actividad pedagógica sobre el respeto por la vida, fortaleciendo el amor propio, la autoestima, descubriendo que las personas más importantes en su vida son ellas mismas. 
-	El 20 de agosto en el sector la Perla en articulación con la Secretaría de Salud y Cultura y Preci se materializa la estrategia Medellín Me cuida, donde se enmarca el compromiso objetivo de autocuidado y adopción de medidas de bioseguridad.  
</v>
      </c>
      <c r="H39" t="str">
        <f>+Hoja2!H39</f>
        <v xml:space="preserve">-	El 19 de agosto en el barrio Nuevo Amanecer, con la articulación de la Secretaría de las Mujeres, se realizó activación de Espacios Seguros para las mujeres y las niñas como forma de prevención de la violencia por medio actividad pedagógica sobre el respeto por la vida, fortaleciendo el amor propio, la autoestima, descubriendo que las personas más importantes en su vida son ellas mismas. Participaron 8 personas.
-	El 20 de agosto en el sector la Perla en articulación con la Secretaría de Salud y Cultura y Preci se materializa la estrategia Medellín Me cuida, donde se enmarca el compromiso objetivo de autocuidado y adopción de medidas de bioseguridad. Se impactaron  80 personas. 
</v>
      </c>
    </row>
    <row r="40" spans="1:8" hidden="1" x14ac:dyDescent="0.2">
      <c r="A40">
        <f>+Hoja2!A40</f>
        <v>203023</v>
      </c>
      <c r="B40" s="10" t="str">
        <f>+MID(+Hoja2!B40,1,10)</f>
        <v>27/08/21</v>
      </c>
      <c r="C40">
        <f>+VLOOKUP(D40,DepMaster!$B:$C,2,FALSE)</f>
        <v>732</v>
      </c>
      <c r="D40" t="str">
        <f>+Hoja2!C40</f>
        <v>Secretaría de Seguridad y Convivencia</v>
      </c>
      <c r="E40" s="12" t="str">
        <f>+MID(Hoja2!F40,1,2)</f>
        <v>80</v>
      </c>
      <c r="F40" t="str">
        <f>+MID(Hoja2!F40,4,20)</f>
        <v>SAN ANTONIO DE PRADO</v>
      </c>
      <c r="G40" t="str">
        <f>+Hoja2!G40</f>
        <v xml:space="preserve">-	Campaña contra Hurto a Motocicletas.
-	Reunión con el Secretario de Seguridad y Convivencia junto a los Corregidores para tratar los temas de seguridad que los aquejan
-	Se realiza campaña en contra la Extorsión a Comerciantes en articulación con el Gaula.
-	El 17 de agosto se realizó la jornada de socialización de Código Nacional de Seguridad y Convivencia y el código penal, en especial el delito de la extorsión como impacto negativo para la Convivencia y la Seguridad Ciudadana. Participaron de la actividad, la Policía de prevención ciudadana (preci), el Ejército Nacional (grupo Gaula), el Promotor Local de Convivencia y la Gestora de Seguridad. Esta actividad fue realizada con el propósito de hacer un llamado a la comunidad a denunciar la conducta delictiva de la extorsión, conocer las rutas para hacer una adecuada denuncia, mejorar el autocuidado ante una posible amenaza extorsiva, identificar actores aliados para dicho propósito y generar confianza, seguridad y convivencia en los comerciantes del corregimiento. 
</v>
      </c>
      <c r="H40" t="str">
        <f>+Hoja2!H40</f>
        <v>-	El 17 de agosto se realizó la jornada de socialización de Código Nacional de Seguridad y Convivencia y el código penal, en especial el delito de la extorsión como impacto negativo para la Convivencia y la Seguridad Ciudadana. Participaron de la actividad, la Policía de prevención ciudadana (preci), el Ejército Nacional (grupo Gaula), el Promotor Local de Convivencia y la Gestora de Seguridad. Esta actividad fue realizada con el propósito de hacer un llamado a la comunidad a denunciar la conducta delictiva de la extorsión, conocer las rutas para hacer una adecuada denuncia, mejorar el autocuidado ante una posible amenaza extorsiva, identificar actores aliados para dicho propósito y generar confianza, seguridad y convivencia en los comerciantes del corregimiento. Se impactaron 159 ciudadanos aproximadamente.</v>
      </c>
    </row>
    <row r="41" spans="1:8" hidden="1" x14ac:dyDescent="0.2">
      <c r="A41">
        <f>+Hoja2!A41</f>
        <v>203023</v>
      </c>
      <c r="B41" s="10" t="str">
        <f>+MID(+Hoja2!B41,1,10)</f>
        <v>27/08/21</v>
      </c>
      <c r="C41">
        <f>+VLOOKUP(D41,DepMaster!$B:$C,2,FALSE)</f>
        <v>732</v>
      </c>
      <c r="D41" t="str">
        <f>+Hoja2!C41</f>
        <v>Secretaría de Seguridad y Convivencia</v>
      </c>
      <c r="E41" s="12" t="str">
        <f>+MID(Hoja2!F41,1,2)</f>
        <v>90</v>
      </c>
      <c r="F41" t="str">
        <f>+MID(Hoja2!F41,4,20)</f>
        <v>SANTA ELENA</v>
      </c>
      <c r="G41" t="str">
        <f>+Hoja2!G41</f>
        <v xml:space="preserve">-	Durante la semana de Feria de Flores se realizó acompañamiento por parte del personal operativo en el corregimiento de Santa Elena y en sus respectivas veredas  para el control de venteros en la zona debido a la alta demanda de personas que se desplazaban hasta allí.
-	Recorridos de verificación de esquemas de seguridad en fincas silleteras con atención a público.
-	Acompañamiento a artesanos del parque para actividad de 21 y 22 de agosto.
-	Reunión de establecimiento de listado de fincas para visitas.
-	Acompañamiento a jornada de construcción de silletas en 177 fincas. 18 horas
-	Visitas a fincas silleteras y control de aforos. 18 horas.
-	El 14 de agosto en articulación con la Gerencia de Corregimientos, se realizó recorrido de verificación de aforos y protocolos de bioseguridad por la centralidad de Santa Elena y fincas silleteras, además de seguir con las recomendaciones del auto cuidado y el uso de tapa bocas. 
-	El 19 de agosto de 2021, en la vereda Media Luna se realizó campaña pedagógica y de sensibilización con la estrategia "Pilas Compra Legal” en articulación con la Secretaría de Gestión y Control Territorial, con el propósito de prevenir la compra inmobiliaria y la compra de predios con el fin de no ser víctimas de una estafa. 
</v>
      </c>
      <c r="H41" t="str">
        <f>+Hoja2!H41</f>
        <v>-	El 14 de agosto en articulación con la Gerencia de Corregimientos, se realizó recorrido de verificación de aforos y protocolos de bioseguridad por la centralidad de Santa Elena y fincas silleteras, además de seguir con las recomendaciones del auto cuidado y el uso de tapa bocas. Se logró visitar 11 fincas y se impactaron 80 personas.
-	El 19 de agosto de 2021, en la vereda Media Luna se realizó campaña pedagógica y de sensibilización con la estrategia "Pilas Compra Legal” en articulación con la Secretaría de Gestión y Control Territorial, con el propósito de prevenir la compra inmobiliaria y la compra de predios con el fin de no ser víctimas de una estafa. Se impactan a 80 personas.</v>
      </c>
    </row>
    <row r="42" spans="1:8" hidden="1" x14ac:dyDescent="0.2">
      <c r="A42">
        <f>+Hoja2!A42</f>
        <v>203023</v>
      </c>
      <c r="B42" s="10" t="str">
        <f>+MID(+Hoja2!B42,1,10)</f>
        <v>27/08/21</v>
      </c>
      <c r="C42">
        <f>+VLOOKUP(D42,DepMaster!$B:$C,2,FALSE)</f>
        <v>762</v>
      </c>
      <c r="D42" t="str">
        <f>+Hoja2!C42</f>
        <v>Secretaría de Gestión y Control Territorial</v>
      </c>
      <c r="E42" s="12" t="str">
        <f>+MID(Hoja2!F42,1,2)</f>
        <v>02</v>
      </c>
      <c r="F42" t="str">
        <f>+MID(Hoja2!F42,4,20)</f>
        <v>SANTA CRUZ</v>
      </c>
      <c r="G42" t="str">
        <f>+Hoja2!G42</f>
        <v xml:space="preserve">Proceso de Remoción: Permite la recuperación de espacio público para la ciudadanía, ejerciendo el control territorial. </v>
      </c>
      <c r="H42" t="str">
        <f>+Hoja2!H42</f>
        <v>35 Metros cuadrados de espacio público recuperados mediante 2 procesos de remoción.</v>
      </c>
    </row>
    <row r="43" spans="1:8" hidden="1" x14ac:dyDescent="0.2">
      <c r="A43">
        <f>+Hoja2!A43</f>
        <v>203023</v>
      </c>
      <c r="B43" s="10" t="str">
        <f>+MID(+Hoja2!B43,1,10)</f>
        <v>27/08/21</v>
      </c>
      <c r="C43">
        <f>+VLOOKUP(D43,DepMaster!$B:$C,2,FALSE)</f>
        <v>762</v>
      </c>
      <c r="D43" t="str">
        <f>+Hoja2!C43</f>
        <v>Secretaría de Gestión y Control Territorial</v>
      </c>
      <c r="E43" s="12" t="str">
        <f>+MID(Hoja2!F43,1,2)</f>
        <v>04</v>
      </c>
      <c r="F43" t="str">
        <f>+MID(Hoja2!F43,4,20)</f>
        <v>ARANJUEZ</v>
      </c>
      <c r="G43" t="str">
        <f>+Hoja2!G43</f>
        <v xml:space="preserve">Proceso de Remoción: Permite la recuperación de espacio público para la ciudadanía, ejerciendo el control territorial. </v>
      </c>
      <c r="H43" t="str">
        <f>+Hoja2!H43</f>
        <v>70 Metros cuadrados de espacio público recuperados mediante 2 procesos de remoción.</v>
      </c>
    </row>
    <row r="44" spans="1:8" x14ac:dyDescent="0.2">
      <c r="A44">
        <f>+Hoja2!A44</f>
        <v>203023</v>
      </c>
      <c r="B44" s="10" t="str">
        <f>+MID(+Hoja2!B44,1,10)</f>
        <v>27/08/21</v>
      </c>
      <c r="C44">
        <f>+VLOOKUP(D44,DepMaster!$B:$C,2,FALSE)</f>
        <v>762</v>
      </c>
      <c r="D44" t="str">
        <f>+Hoja2!C44</f>
        <v>Secretaría de Gestión y Control Territorial</v>
      </c>
      <c r="E44" s="12" t="str">
        <f>+MID(Hoja2!F44,1,2)</f>
        <v>07</v>
      </c>
      <c r="F44" t="str">
        <f>+MID(Hoja2!F44,4,20)</f>
        <v>ROBLEDO</v>
      </c>
      <c r="G44" t="str">
        <f>+Hoja2!G44</f>
        <v xml:space="preserve">Proceso de Remoción: Permite la recuperación de espacio público para la ciudadanía, ejerciendo el control territorial. </v>
      </c>
      <c r="H44" t="str">
        <f>+Hoja2!H44</f>
        <v>18 Metros cuadrados de espacio público recuperados mediante 460 procesos de remoción.</v>
      </c>
    </row>
    <row r="45" spans="1:8" hidden="1" x14ac:dyDescent="0.2">
      <c r="A45">
        <f>+Hoja2!A45</f>
        <v>203023</v>
      </c>
      <c r="B45" s="10" t="str">
        <f>+MID(+Hoja2!B45,1,10)</f>
        <v>27/08/21</v>
      </c>
      <c r="C45">
        <f>+VLOOKUP(D45,DepMaster!$B:$C,2,FALSE)</f>
        <v>762</v>
      </c>
      <c r="D45" t="str">
        <f>+Hoja2!C45</f>
        <v>Secretaría de Gestión y Control Territorial</v>
      </c>
      <c r="E45" s="12" t="str">
        <f>+MID(Hoja2!F45,1,2)</f>
        <v>08</v>
      </c>
      <c r="F45" t="str">
        <f>+MID(Hoja2!F45,4,20)</f>
        <v>VILLA HERMOSA</v>
      </c>
      <c r="G45" t="str">
        <f>+Hoja2!G45</f>
        <v xml:space="preserve">Proceso de Remoción: Permite la recuperación de espacio público para la ciudadanía, ejerciendo el control territorial. </v>
      </c>
      <c r="H45" t="str">
        <f>+Hoja2!H45</f>
        <v>173 Metros cuadrados de espacio público recuperados mediante 4 procesos de remoción.</v>
      </c>
    </row>
    <row r="46" spans="1:8" hidden="1" x14ac:dyDescent="0.2">
      <c r="A46">
        <f>+Hoja2!A46</f>
        <v>203023</v>
      </c>
      <c r="B46" s="10" t="str">
        <f>+MID(+Hoja2!B46,1,10)</f>
        <v>27/08/21</v>
      </c>
      <c r="C46">
        <f>+VLOOKUP(D46,DepMaster!$B:$C,2,FALSE)</f>
        <v>762</v>
      </c>
      <c r="D46" t="str">
        <f>+Hoja2!C46</f>
        <v>Secretaría de Gestión y Control Territorial</v>
      </c>
      <c r="E46" s="12" t="str">
        <f>+MID(Hoja2!F46,1,2)</f>
        <v>16</v>
      </c>
      <c r="F46" t="str">
        <f>+MID(Hoja2!F46,4,20)</f>
        <v>BELEN</v>
      </c>
      <c r="G46" t="str">
        <f>+Hoja2!G46</f>
        <v xml:space="preserve">Proceso de Remoción: Permite la recuperación de espacio público para la ciudadanía, ejerciendo el control territorial. </v>
      </c>
      <c r="H46" t="str">
        <f>+Hoja2!H46</f>
        <v>440 Metros cuadrados de espacio público recuperados mediante 9 procesos de remoción.</v>
      </c>
    </row>
    <row r="47" spans="1:8" hidden="1" x14ac:dyDescent="0.2">
      <c r="A47">
        <f>+Hoja2!A47</f>
        <v>203023</v>
      </c>
      <c r="B47" s="10" t="str">
        <f>+MID(+Hoja2!B47,1,10)</f>
        <v>27/08/21</v>
      </c>
      <c r="C47">
        <f>+VLOOKUP(D47,DepMaster!$B:$C,2,FALSE)</f>
        <v>762</v>
      </c>
      <c r="D47" t="str">
        <f>+Hoja2!C47</f>
        <v>Secretaría de Gestión y Control Territorial</v>
      </c>
      <c r="E47" s="12" t="str">
        <f>+MID(Hoja2!F47,1,2)</f>
        <v>60</v>
      </c>
      <c r="F47" t="str">
        <f>+MID(Hoja2!F47,4,20)</f>
        <v>SAN CRISTOBAL</v>
      </c>
      <c r="G47" t="str">
        <f>+Hoja2!G47</f>
        <v xml:space="preserve">Proceso de Remoción: Permite la recuperación de espacio público para la ciudadanía, ejerciendo el control territorial. </v>
      </c>
      <c r="H47" t="str">
        <f>+Hoja2!H47</f>
        <v>20 Metros cuadrados de espacio público recuperados mediante 1 proceso de remoción.</v>
      </c>
    </row>
    <row r="48" spans="1:8" hidden="1" x14ac:dyDescent="0.2">
      <c r="A48">
        <f>+Hoja2!A48</f>
        <v>203023</v>
      </c>
      <c r="B48" s="10" t="str">
        <f>+MID(+Hoja2!B48,1,10)</f>
        <v>27/08/21</v>
      </c>
      <c r="C48">
        <f>+VLOOKUP(D48,DepMaster!$B:$C,2,FALSE)</f>
        <v>762</v>
      </c>
      <c r="D48" t="str">
        <f>+Hoja2!C48</f>
        <v>Secretaría de Gestión y Control Territorial</v>
      </c>
      <c r="E48" s="12" t="str">
        <f>+MID(Hoja2!F48,1,2)</f>
        <v>90</v>
      </c>
      <c r="F48" t="str">
        <f>+MID(Hoja2!F48,4,20)</f>
        <v>SANTA ELENA</v>
      </c>
      <c r="G48" t="str">
        <f>+Hoja2!G48</f>
        <v xml:space="preserve">Proceso de Remoción: Permite la recuperación de espacio público para la ciudadanía, ejerciendo el control territorial. </v>
      </c>
      <c r="H48" t="str">
        <f>+Hoja2!H48</f>
        <v>150 Metros cuadrados de espacio público recuperados mediante 4 procesos de remoción.</v>
      </c>
    </row>
    <row r="49" spans="1:8" x14ac:dyDescent="0.2">
      <c r="A49">
        <f>+Hoja2!A49</f>
        <v>203023</v>
      </c>
      <c r="B49" s="10" t="str">
        <f>+MID(+Hoja2!B49,1,10)</f>
        <v>27/08/21</v>
      </c>
      <c r="C49">
        <f>+VLOOKUP(D49,DepMaster!$B:$C,2,FALSE)</f>
        <v>762</v>
      </c>
      <c r="D49" t="str">
        <f>+Hoja2!C49</f>
        <v>Secretaría de Gestión y Control Territorial</v>
      </c>
      <c r="E49" s="12" t="str">
        <f>+MID(Hoja2!F49,1,2)</f>
        <v>07</v>
      </c>
      <c r="F49" t="str">
        <f>+MID(Hoja2!F49,4,20)</f>
        <v>ROBLEDO</v>
      </c>
      <c r="G49" t="str">
        <f>+Hoja2!G49</f>
        <v xml:space="preserve">Sensibilizar a la primera infancia, adolescencia y juventud sobre la correcta ocupación y apropiación del territorio </v>
      </c>
      <c r="H49" t="str">
        <f>+Hoja2!H49</f>
        <v>población atendida: 95 ciudadanos.</v>
      </c>
    </row>
    <row r="50" spans="1:8" hidden="1" x14ac:dyDescent="0.2">
      <c r="A50">
        <f>+Hoja2!A50</f>
        <v>203023</v>
      </c>
      <c r="B50" s="10" t="str">
        <f>+MID(+Hoja2!B50,1,10)</f>
        <v>27/08/21</v>
      </c>
      <c r="C50">
        <f>+VLOOKUP(D50,DepMaster!$B:$C,2,FALSE)</f>
        <v>762</v>
      </c>
      <c r="D50" t="str">
        <f>+Hoja2!C50</f>
        <v>Secretaría de Gestión y Control Territorial</v>
      </c>
      <c r="E50" s="12" t="str">
        <f>+MID(Hoja2!F50,1,2)</f>
        <v>16</v>
      </c>
      <c r="F50" t="str">
        <f>+MID(Hoja2!F50,4,20)</f>
        <v>BELEN</v>
      </c>
      <c r="G50" t="str">
        <f>+Hoja2!G50</f>
        <v>capacitar a los actores territoriales en procesos de legalidad, construcción y ética en cuanto a la ocupación de la ciudad mediante jornada de atención.</v>
      </c>
      <c r="H50" t="str">
        <f>+Hoja2!H50</f>
        <v>Población atendida: 102 ciudadanos.</v>
      </c>
    </row>
    <row r="51" spans="1:8" hidden="1" x14ac:dyDescent="0.2">
      <c r="A51">
        <f>+Hoja2!A51</f>
        <v>203023</v>
      </c>
      <c r="B51" s="10" t="str">
        <f>+MID(+Hoja2!B51,1,10)</f>
        <v>27/08/21</v>
      </c>
      <c r="C51">
        <f>+VLOOKUP(D51,DepMaster!$B:$C,2,FALSE)</f>
        <v>762</v>
      </c>
      <c r="D51" t="str">
        <f>+Hoja2!C51</f>
        <v>Secretaría de Gestión y Control Territorial</v>
      </c>
      <c r="E51" s="12" t="str">
        <f>+MID(Hoja2!F51,1,2)</f>
        <v>90</v>
      </c>
      <c r="F51" t="str">
        <f>+MID(Hoja2!F51,4,20)</f>
        <v>SANTA ELENA</v>
      </c>
      <c r="G51" t="str">
        <f>+Hoja2!G51</f>
        <v>capacitar a los actores territoriales en procesos de legalidad, construcción y ética en cuanto a la ocupación de la ciudad mediante jornada de atención</v>
      </c>
      <c r="H51" t="str">
        <f>+Hoja2!H51</f>
        <v>Población atendida: 56 ciudadanos.</v>
      </c>
    </row>
    <row r="52" spans="1:8" hidden="1" x14ac:dyDescent="0.2">
      <c r="A52">
        <f>+Hoja2!A52</f>
        <v>203023</v>
      </c>
      <c r="B52" s="10" t="str">
        <f>+MID(+Hoja2!B52,1,10)</f>
        <v>27/08/21</v>
      </c>
      <c r="C52">
        <f>+VLOOKUP(D52,DepMaster!$B:$C,2,FALSE)</f>
        <v>743</v>
      </c>
      <c r="D52" t="str">
        <f>+Hoja2!C52</f>
        <v>Secretaría de Movilidad</v>
      </c>
      <c r="E52" s="12" t="str">
        <f>+MID(Hoja2!F52,1,2)</f>
        <v>10</v>
      </c>
      <c r="F52" t="str">
        <f>+MID(Hoja2!F52,4,20)</f>
        <v>LA CANDELARIA</v>
      </c>
      <c r="G52" t="str">
        <f>+Hoja2!G52</f>
        <v xml:space="preserve">Elaboración del primer informe de supervisión directa del Convenio Interadministrativo suscrito entre la Secretaría de Movilidad y UNE TELCO S.A., permitiendo la identificación y propuesta de acciones de mejora a los servicios concesionados, especialmente los relacionados con la atención de trámites de tránsito y sistemas de información	
Elaboración con la Unidad de Inspecciones y la Subsecretaria de Seguridad Vial y Control del flujo del trámite preferencial de procedimientos contravencionales de tránsito relacionados con el código de infracción D12 (prestación informal del servicio de transporte público por medio de vehículos particulares)	
Aprobación por parte de la Secretaría de Servicios a la Ciudadanía y la Secretaría de Innovación Digital de la priorización con fines de automatización del proceso de desvinculaciones administrativas de vehículos de servicio público, permitiendo que finalizando el año 2021 se inicie el trámite de estructuración técnica para la automatización de flujos de trabajo y conformación de un expediente digital.	
Por tercera vez, la Secretaría cuenta con el 100% en el indicador de oportunidad de las PQRSD del mes de junio
Se están llevando a cabo las estrategias pedagógicas de Transformación Educativa y Cultural con las cuales se ha logrado intervenir un total de 111.110 personas hasta el 22 de agosto de 2021	
Durante la semana del 16 al 22 de agosto se participó de eventos de Feria de Flores como: Escenario Colombia, parque de las Flores Juanes de la Paz y desfile de silleteros. Con estas intervenciones se logró llegar a 1.600 personas con el enfoque Visión Cero y mensajes de prevención de la conducción en estado de embriaguez, y con los agentes de tránsito se realizaron los diferentes cierres y acompañamientos.	
Se llevó acabo el dia del peatón el 17 de agosto en el cual se realizaron intervenciones específicas a este actor vial en los puntos de mayor incidentalidad y en la Alhambra se realizaron actividades que permitieran a los peatones el sano disfrute del espacio público. Con estas actividades se logró intervenir 1.763 personas.	
La Secretaria de Movilidad a través de los Agentes de tránsito y en articulación con el área Metropolitana continúan con los controles a las emisiones contaminantes a fuentes móviles , de los controles realizados se tienen los siguientes resultados del 16 al 22 de Agosto de 2021 : 781 Pruebas, de estas 70 comparendos y 6 inmovilizaciones.
</v>
      </c>
      <c r="H52" t="str">
        <f>+Hoja2!H52</f>
        <v>.</v>
      </c>
    </row>
    <row r="53" spans="1:8" hidden="1" x14ac:dyDescent="0.2">
      <c r="A53">
        <f>+Hoja2!A53</f>
        <v>203023</v>
      </c>
      <c r="B53" s="10" t="str">
        <f>+MID(+Hoja2!B53,1,10)</f>
        <v>27/08/21</v>
      </c>
      <c r="C53">
        <f>+VLOOKUP(D53,DepMaster!$B:$C,2,FALSE)</f>
        <v>705</v>
      </c>
      <c r="D53" t="str">
        <f>+Hoja2!C53</f>
        <v>Secretaría General</v>
      </c>
      <c r="E53" s="12" t="str">
        <f>+MID(Hoja2!F53,1,2)</f>
        <v>16</v>
      </c>
      <c r="F53" t="str">
        <f>+MID(Hoja2!F53,4,20)</f>
        <v>BELEN</v>
      </c>
      <c r="G53" t="str">
        <f>+Hoja2!G53</f>
        <v>N/A</v>
      </c>
      <c r="H53" t="str">
        <f>+Hoja2!H53</f>
        <v>N/A</v>
      </c>
    </row>
    <row r="54" spans="1:8" hidden="1" x14ac:dyDescent="0.2">
      <c r="A54">
        <f>+Hoja2!A54</f>
        <v>203023</v>
      </c>
      <c r="B54" s="10" t="str">
        <f>+MID(+Hoja2!B54,1,10)</f>
        <v>27/08/21</v>
      </c>
      <c r="C54">
        <f>+VLOOKUP(D54,DepMaster!$B:$C,2,FALSE)</f>
        <v>723</v>
      </c>
      <c r="D54" t="str">
        <f>+Hoja2!C54</f>
        <v>Secretaría de las Mujeres</v>
      </c>
      <c r="E54" s="12" t="str">
        <f>+MID(Hoja2!F54,1,2)</f>
        <v>01</v>
      </c>
      <c r="F54" t="str">
        <f>+MID(Hoja2!F54,4,20)</f>
        <v>POPULAR</v>
      </c>
      <c r="G54" t="str">
        <f>+Hoja2!G54</f>
        <v>No se reportan logros territoriales</v>
      </c>
      <c r="H54" t="str">
        <f>+Hoja2!H54</f>
        <v>.</v>
      </c>
    </row>
    <row r="55" spans="1:8" hidden="1" x14ac:dyDescent="0.2">
      <c r="A55">
        <f>+Hoja2!A55</f>
        <v>203023</v>
      </c>
      <c r="B55" s="10" t="str">
        <f>+MID(+Hoja2!B55,1,10)</f>
        <v>27/08/21</v>
      </c>
      <c r="C55">
        <f>+VLOOKUP(D55,DepMaster!$B:$C,2,FALSE)</f>
        <v>703</v>
      </c>
      <c r="D55" t="str">
        <f>+Hoja2!C55</f>
        <v>Secretaría de Evaluación y Control</v>
      </c>
      <c r="E55" s="12" t="str">
        <f>+MID(Hoja2!F55,1,2)</f>
        <v>01</v>
      </c>
      <c r="F55" t="str">
        <f>+MID(Hoja2!F55,4,20)</f>
        <v>POPULAR</v>
      </c>
      <c r="G55" t="str">
        <f>+Hoja2!G55</f>
        <v>-</v>
      </c>
      <c r="H55" t="str">
        <f>+Hoja2!H55</f>
        <v>-</v>
      </c>
    </row>
    <row r="56" spans="1:8" hidden="1" x14ac:dyDescent="0.2">
      <c r="A56">
        <f>+Hoja2!A56</f>
        <v>203023</v>
      </c>
      <c r="B56" s="10" t="str">
        <f>+MID(+Hoja2!B56,1,10)</f>
        <v>27/08/21</v>
      </c>
      <c r="C56">
        <f>+VLOOKUP(D56,DepMaster!$B:$C,2,FALSE)</f>
        <v>956</v>
      </c>
      <c r="D56" t="str">
        <f>+Hoja2!C56</f>
        <v>Gerencia de Diversidades Sexuales e Identidades de Género</v>
      </c>
      <c r="E56" s="12" t="str">
        <f>+MID(Hoja2!F56,1,2)</f>
        <v>11</v>
      </c>
      <c r="F56" t="str">
        <f>+MID(Hoja2!F56,4,20)</f>
        <v>LAURELES</v>
      </c>
      <c r="G56" t="str">
        <f>+Hoja2!G56</f>
        <v>Taller de sensibilización en instituciones educativas, con el fin de establecer otros referentes respecto a temas de la gerencia.</v>
      </c>
      <c r="H56" t="str">
        <f>+Hoja2!H56</f>
        <v xml:space="preserve">105 personas impactadas en instituciones educativas. </v>
      </c>
    </row>
    <row r="57" spans="1:8" hidden="1" x14ac:dyDescent="0.2">
      <c r="A57">
        <f>+Hoja2!A57</f>
        <v>203023</v>
      </c>
      <c r="B57" s="10" t="str">
        <f>+MID(+Hoja2!B57,1,10)</f>
        <v>27/08/21</v>
      </c>
      <c r="C57">
        <f>+VLOOKUP(D57,DepMaster!$B:$C,2,FALSE)</f>
        <v>956</v>
      </c>
      <c r="D57" t="str">
        <f>+Hoja2!C57</f>
        <v>Gerencia de Diversidades Sexuales e Identidades de Género</v>
      </c>
      <c r="E57" s="12" t="str">
        <f>+MID(Hoja2!F57,1,2)</f>
        <v>10</v>
      </c>
      <c r="F57" t="str">
        <f>+MID(Hoja2!F57,4,20)</f>
        <v>LA CANDELARIA</v>
      </c>
      <c r="G57" t="str">
        <f>+Hoja2!G57</f>
        <v xml:space="preserve">Formacion y sensibilización a funcionarios de comisarias de familia, inspectores y corregidores, bajo la dinamiza de ser ellos primeros respondientes en casos que referencian población LGBTI </v>
      </c>
      <c r="H57" t="str">
        <f>+Hoja2!H57</f>
        <v>135 funcionarios de estas entidades.</v>
      </c>
    </row>
    <row r="58" spans="1:8" hidden="1" x14ac:dyDescent="0.2">
      <c r="A58">
        <f>+Hoja2!A58</f>
        <v>203023</v>
      </c>
      <c r="B58" s="10" t="str">
        <f>+MID(+Hoja2!B58,1,10)</f>
        <v>27/08/21</v>
      </c>
      <c r="C58">
        <f>+VLOOKUP(D58,DepMaster!$B:$C,2,FALSE)</f>
        <v>956</v>
      </c>
      <c r="D58" t="str">
        <f>+Hoja2!C58</f>
        <v>Gerencia de Diversidades Sexuales e Identidades de Género</v>
      </c>
      <c r="E58" s="12" t="str">
        <f>+MID(Hoja2!F58,1,2)</f>
        <v>70</v>
      </c>
      <c r="F58" t="str">
        <f>+MID(Hoja2!F58,4,20)</f>
        <v>ALTAVISTA</v>
      </c>
      <c r="G58" t="str">
        <f>+Hoja2!G58</f>
        <v xml:space="preserve">Dar a conocer la gerencia en escenarios de esparcimiento familiar, a si como acompañar los procesos que se dinamizan en la zona y cuya demanda implica fortalecer temas de diversidad. </v>
      </c>
      <c r="H58" t="str">
        <f>+Hoja2!H58</f>
        <v>25 jóvenes participantes del festival.</v>
      </c>
    </row>
    <row r="59" spans="1:8" hidden="1" x14ac:dyDescent="0.2">
      <c r="A59">
        <f>+Hoja2!A59</f>
        <v>203023</v>
      </c>
      <c r="B59" s="10" t="str">
        <f>+MID(+Hoja2!B59,1,10)</f>
        <v>27/08/21</v>
      </c>
      <c r="C59">
        <f>+VLOOKUP(D59,DepMaster!$B:$C,2,FALSE)</f>
        <v>956</v>
      </c>
      <c r="D59" t="str">
        <f>+Hoja2!C59</f>
        <v>Gerencia de Diversidades Sexuales e Identidades de Género</v>
      </c>
      <c r="E59" s="12" t="str">
        <f>+MID(Hoja2!F59,1,2)</f>
        <v>11</v>
      </c>
      <c r="F59" t="str">
        <f>+MID(Hoja2!F59,4,20)</f>
        <v>LAURELES</v>
      </c>
      <c r="G59" t="str">
        <f>+Hoja2!G59</f>
        <v>Recorrido en el sector, con el fin de acompañar a la población trans en ejercicio de prostitución  con el fin de ser referente de apoyo y protección de sus derechos</v>
      </c>
      <c r="H59" t="str">
        <f>+Hoja2!H59</f>
        <v>12 personas trans que están en la zona.</v>
      </c>
    </row>
    <row r="60" spans="1:8" hidden="1" x14ac:dyDescent="0.2">
      <c r="A60">
        <f>+Hoja2!A60</f>
        <v>203023</v>
      </c>
      <c r="B60" s="10" t="str">
        <f>+MID(+Hoja2!B60,1,10)</f>
        <v>27/08/21</v>
      </c>
      <c r="C60">
        <f>+VLOOKUP(D60,DepMaster!$B:$C,2,FALSE)</f>
        <v>724</v>
      </c>
      <c r="D60" t="str">
        <f>+Hoja2!C60</f>
        <v>Secretaría de la Juventud</v>
      </c>
      <c r="E60" s="12" t="str">
        <f>+MID(Hoja2!F60,1,2)</f>
        <v>04</v>
      </c>
      <c r="F60" t="str">
        <f>+MID(Hoja2!F60,4,20)</f>
        <v>ARANJUEZ</v>
      </c>
      <c r="G60" t="str">
        <f>+Hoja2!G60</f>
        <v xml:space="preserve">25 de agosto: Taller de siembra con Grupo Ambiental Poderoso y Hábitat Joven </v>
      </c>
      <c r="H60" t="str">
        <f>+Hoja2!H60</f>
        <v>Con la participación de 60 jóvenes</v>
      </c>
    </row>
    <row r="61" spans="1:8" hidden="1" x14ac:dyDescent="0.2">
      <c r="A61">
        <f>+Hoja2!A61</f>
        <v>203023</v>
      </c>
      <c r="B61" s="10" t="str">
        <f>+MID(+Hoja2!B61,1,10)</f>
        <v>27/08/21</v>
      </c>
      <c r="C61">
        <f>+VLOOKUP(D61,DepMaster!$B:$C,2,FALSE)</f>
        <v>724</v>
      </c>
      <c r="D61" t="str">
        <f>+Hoja2!C61</f>
        <v>Secretaría de la Juventud</v>
      </c>
      <c r="E61" s="12" t="str">
        <f>+MID(Hoja2!F61,1,2)</f>
        <v>04</v>
      </c>
      <c r="F61" t="str">
        <f>+MID(Hoja2!F61,4,20)</f>
        <v>ARANJUEZ</v>
      </c>
      <c r="G61" t="str">
        <f>+Hoja2!G61</f>
        <v>25 de agosto: Bazar colaborativo: Trueques, compartir y juntanza en el Mercado Joven de las Osadías. Medellín Joven: oportunidades gratuitas para las juventudes de Medellín.</v>
      </c>
      <c r="H61" t="str">
        <f>+Hoja2!H61</f>
        <v>Se espera contar con la participación de 60 jóvenes.</v>
      </c>
    </row>
    <row r="62" spans="1:8" hidden="1" x14ac:dyDescent="0.2">
      <c r="A62">
        <f>+Hoja2!A62</f>
        <v>203023</v>
      </c>
      <c r="B62" s="10" t="str">
        <f>+MID(+Hoja2!B62,1,10)</f>
        <v>27/08/21</v>
      </c>
      <c r="C62">
        <f>+VLOOKUP(D62,DepMaster!$B:$C,2,FALSE)</f>
        <v>724</v>
      </c>
      <c r="D62" t="str">
        <f>+Hoja2!C62</f>
        <v>Secretaría de la Juventud</v>
      </c>
      <c r="E62" s="12" t="str">
        <f>+MID(Hoja2!F62,1,2)</f>
        <v>06</v>
      </c>
      <c r="F62" t="str">
        <f>+MID(Hoja2!F62,4,20)</f>
        <v>DOCE DE OCTUBRE</v>
      </c>
      <c r="G62" t="str">
        <f>+Hoja2!G62</f>
        <v xml:space="preserve"> 26 de agosto: Taller de Salud Mental  y taller emprendimientos creativos.</v>
      </c>
      <c r="H62" t="str">
        <f>+Hoja2!H62</f>
        <v>Se espera contar con la participación de 50 jóvenes.</v>
      </c>
    </row>
    <row r="63" spans="1:8" hidden="1" x14ac:dyDescent="0.2">
      <c r="A63">
        <f>+Hoja2!A63</f>
        <v>203023</v>
      </c>
      <c r="B63" s="10" t="str">
        <f>+MID(+Hoja2!B63,1,10)</f>
        <v>27/08/21</v>
      </c>
      <c r="C63">
        <f>+VLOOKUP(D63,DepMaster!$B:$C,2,FALSE)</f>
        <v>724</v>
      </c>
      <c r="D63" t="str">
        <f>+Hoja2!C63</f>
        <v>Secretaría de la Juventud</v>
      </c>
      <c r="E63" s="12" t="str">
        <f>+MID(Hoja2!F63,1,2)</f>
        <v>06</v>
      </c>
      <c r="F63" t="str">
        <f>+MID(Hoja2!F63,4,20)</f>
        <v>DOCE DE OCTUBRE</v>
      </c>
      <c r="G63" t="str">
        <f>+Hoja2!G63</f>
        <v xml:space="preserve"> 26 de agosto: Encuentro de libertades religiosas y de culto, un intercambio de experiencias de las juventudes de Medellín.</v>
      </c>
      <c r="H63" t="str">
        <f>+Hoja2!H63</f>
        <v>Se espera contar con la participación de 50 jóvenes.</v>
      </c>
    </row>
    <row r="64" spans="1:8" x14ac:dyDescent="0.2">
      <c r="A64">
        <f>+Hoja2!A64</f>
        <v>203023</v>
      </c>
      <c r="B64" s="10" t="str">
        <f>+MID(+Hoja2!B64,1,10)</f>
        <v>27/08/21</v>
      </c>
      <c r="C64">
        <f>+VLOOKUP(D64,DepMaster!$B:$C,2,FALSE)</f>
        <v>724</v>
      </c>
      <c r="D64" t="str">
        <f>+Hoja2!C64</f>
        <v>Secretaría de la Juventud</v>
      </c>
      <c r="E64" s="12" t="str">
        <f>+MID(Hoja2!F64,1,2)</f>
        <v>07</v>
      </c>
      <c r="F64" t="str">
        <f>+MID(Hoja2!F64,4,20)</f>
        <v>ROBLEDO</v>
      </c>
      <c r="G64" t="str">
        <f>+Hoja2!G64</f>
        <v>27 de agosto: Taller sobre orientaciones sexuales e identidades de género. Convoca: Gerencia de Diversidades Sexuales e Identidades de Género.</v>
      </c>
      <c r="H64" t="str">
        <f>+Hoja2!H64</f>
        <v>Se espera la participación de 50 jóvenes.</v>
      </c>
    </row>
    <row r="65" spans="1:8" hidden="1" x14ac:dyDescent="0.2">
      <c r="A65">
        <f>+Hoja2!A65</f>
        <v>203023</v>
      </c>
      <c r="B65" s="10" t="str">
        <f>+MID(+Hoja2!B65,1,10)</f>
        <v>27/08/21</v>
      </c>
      <c r="C65">
        <f>+VLOOKUP(D65,DepMaster!$B:$C,2,FALSE)</f>
        <v>724</v>
      </c>
      <c r="D65" t="str">
        <f>+Hoja2!C65</f>
        <v>Secretaría de la Juventud</v>
      </c>
      <c r="E65" s="12" t="str">
        <f>+MID(Hoja2!F65,1,2)</f>
        <v>50</v>
      </c>
      <c r="F65" t="str">
        <f>+MID(Hoja2!F65,4,20)</f>
        <v>PALMITAS</v>
      </c>
      <c r="G65" t="str">
        <f>+Hoja2!G65</f>
        <v>25 de agosto: Jornada comunitaria y futbolera.</v>
      </c>
      <c r="H65" t="str">
        <f>+Hoja2!H65</f>
        <v>Se espera contar con la participación de 50 jóvenes.</v>
      </c>
    </row>
    <row r="66" spans="1:8" hidden="1" x14ac:dyDescent="0.2">
      <c r="A66">
        <f>+Hoja2!A66</f>
        <v>203023</v>
      </c>
      <c r="B66" s="10" t="str">
        <f>+MID(+Hoja2!B66,1,10)</f>
        <v>27/08/21</v>
      </c>
      <c r="C66">
        <f>+VLOOKUP(D66,DepMaster!$B:$C,2,FALSE)</f>
        <v>724</v>
      </c>
      <c r="D66" t="str">
        <f>+Hoja2!C66</f>
        <v>Secretaría de la Juventud</v>
      </c>
      <c r="E66" s="12" t="str">
        <f>+MID(Hoja2!F66,1,2)</f>
        <v>80</v>
      </c>
      <c r="F66" t="str">
        <f>+MID(Hoja2!F66,4,20)</f>
        <v>SAN ANTONIO DE PRADO</v>
      </c>
      <c r="G66" t="str">
        <f>+Hoja2!G66</f>
        <v>25 de agosto: Huertas, seguridad y soberanía alimentaria en San Antonio de Prado.</v>
      </c>
      <c r="H66" t="str">
        <f>+Hoja2!H66</f>
        <v>Se espera contar con la participación de 50 jóvenes.</v>
      </c>
    </row>
    <row r="67" spans="1:8" hidden="1" x14ac:dyDescent="0.2">
      <c r="A67">
        <f>+Hoja2!A67</f>
        <v>203023</v>
      </c>
      <c r="B67" s="10" t="str">
        <f>+MID(+Hoja2!B67,1,10)</f>
        <v>27/08/21</v>
      </c>
      <c r="C67">
        <f>+VLOOKUP(D67,DepMaster!$B:$C,2,FALSE)</f>
        <v>954</v>
      </c>
      <c r="D67" t="str">
        <f>+Hoja2!C67</f>
        <v>Gerencia de Etnias</v>
      </c>
      <c r="E67" s="12" t="str">
        <f>+MID(Hoja2!F67,1,2)</f>
        <v>80</v>
      </c>
      <c r="F67" t="str">
        <f>+MID(Hoja2!F67,4,20)</f>
        <v>SAN ANTONIO DE PRADO</v>
      </c>
      <c r="G67" t="str">
        <f>+Hoja2!G67</f>
        <v>Entrega de kits escolares y elementos didácticos a niños y niñas Afrodescendientes de la comuna</v>
      </c>
      <c r="H67" t="str">
        <f>+Hoja2!H67</f>
        <v xml:space="preserve">70 niños y niñas Afrodescendientes beneficiados </v>
      </c>
    </row>
    <row r="68" spans="1:8" hidden="1" x14ac:dyDescent="0.2">
      <c r="A68">
        <f>+Hoja2!A68</f>
        <v>203023</v>
      </c>
      <c r="B68" s="10" t="str">
        <f>+MID(+Hoja2!B68,1,10)</f>
        <v>27/08/21</v>
      </c>
      <c r="C68">
        <f>+VLOOKUP(D68,DepMaster!$B:$C,2,FALSE)</f>
        <v>771</v>
      </c>
      <c r="D68" t="str">
        <f>+Hoja2!C68</f>
        <v>Gerencia del Centro</v>
      </c>
      <c r="E68" s="12" t="str">
        <f>+MID(Hoja2!F68,1,2)</f>
        <v>10</v>
      </c>
      <c r="F68" t="str">
        <f>+MID(Hoja2!F68,4,20)</f>
        <v>LA CANDELARIA</v>
      </c>
      <c r="G68" t="str">
        <f>+Hoja2!G68</f>
        <v>1.	Alcance en publicaciones en redes</v>
      </c>
      <c r="H68" t="str">
        <f>+Hoja2!H68</f>
        <v>Las publicaciones alcanzaron estas estadísticas en la última semana Número de Publicaciones: 66 Twitter 123.800 impresiones y 1.077 interacciones. Instagram 5.000 impresiones y 202 acciones Facebook 1.395 personas alcanzadas y 115 interacciones.</v>
      </c>
    </row>
    <row r="69" spans="1:8" hidden="1" x14ac:dyDescent="0.2">
      <c r="A69">
        <f>+Hoja2!A69</f>
        <v>203023</v>
      </c>
      <c r="B69" s="10" t="str">
        <f>+MID(+Hoja2!B69,1,10)</f>
        <v>27/08/21</v>
      </c>
      <c r="C69">
        <f>+VLOOKUP(D69,DepMaster!$B:$C,2,FALSE)</f>
        <v>771</v>
      </c>
      <c r="D69" t="str">
        <f>+Hoja2!C69</f>
        <v>Gerencia del Centro</v>
      </c>
      <c r="E69" s="12" t="str">
        <f>+MID(Hoja2!F69,1,2)</f>
        <v>10</v>
      </c>
      <c r="F69" t="str">
        <f>+MID(Hoja2!F69,4,20)</f>
        <v>LA CANDELARIA</v>
      </c>
      <c r="G69" t="str">
        <f>+Hoja2!G69</f>
        <v>2.	Acciones en pro de la seguridad de las Mujeres en la comuna 10</v>
      </c>
      <c r="H69" t="str">
        <f>+Hoja2!H69</f>
        <v xml:space="preserve">Con la secretaria de Mujeres hemos llevado el taller "Espacios seguros para niñas y mujeres" a la plaza minorista. En este proceso hemos logrado impactar 50 personas de la plaza, logrando sensibilizar el trato que reciben las niñas y mujeres en el sector. </v>
      </c>
    </row>
    <row r="70" spans="1:8" hidden="1" x14ac:dyDescent="0.2">
      <c r="A70">
        <f>+Hoja2!A70</f>
        <v>203023</v>
      </c>
      <c r="B70" s="10" t="str">
        <f>+MID(+Hoja2!B70,1,10)</f>
        <v>27/08/21</v>
      </c>
      <c r="C70">
        <f>+VLOOKUP(D70,DepMaster!$B:$C,2,FALSE)</f>
        <v>771</v>
      </c>
      <c r="D70" t="str">
        <f>+Hoja2!C70</f>
        <v>Gerencia del Centro</v>
      </c>
      <c r="E70" s="12" t="str">
        <f>+MID(Hoja2!F70,1,2)</f>
        <v>10</v>
      </c>
      <c r="F70" t="str">
        <f>+MID(Hoja2!F70,4,20)</f>
        <v>LA CANDELARIA</v>
      </c>
      <c r="G70" t="str">
        <f>+Hoja2!G70</f>
        <v>Lanzamiento del libro El color de la palabra y la revista Afrodescendientes</v>
      </c>
      <c r="H70" t="str">
        <f>+Hoja2!H70</f>
        <v>3.	Realización del Lanzamiento del libro El color de la palabra y la revista Afrodescendientes. Este evento se realiza con alianza entre la JAC de la comuna 10 y La Casa Centro Cultural, se logró impactar 50 personas de forma presencial y 30 personas más, en la parte virtual</v>
      </c>
    </row>
    <row r="71" spans="1:8" hidden="1" x14ac:dyDescent="0.2">
      <c r="A71">
        <f>+Hoja2!A71</f>
        <v>203023</v>
      </c>
      <c r="B71" s="10" t="str">
        <f>+MID(+Hoja2!B71,1,10)</f>
        <v>27/08/21</v>
      </c>
      <c r="C71">
        <f>+VLOOKUP(D71,DepMaster!$B:$C,2,FALSE)</f>
        <v>771</v>
      </c>
      <c r="D71" t="str">
        <f>+Hoja2!C71</f>
        <v>Gerencia del Centro</v>
      </c>
      <c r="E71" s="12" t="str">
        <f>+MID(Hoja2!F71,1,2)</f>
        <v>10</v>
      </c>
      <c r="F71" t="str">
        <f>+MID(Hoja2!F71,4,20)</f>
        <v>LA CANDELARIA</v>
      </c>
      <c r="G71" t="str">
        <f>+Hoja2!G71</f>
        <v>4.	Actividades de Feria en la Comuna 10</v>
      </c>
      <c r="H71" t="str">
        <f>+Hoja2!H71</f>
        <v>El Pasado 14 de agosto, en el marco de La Feria de Las Flores se realizó en compañía de Asoguayaquil en el sector de Alhambra, el Desfile de Silleteritos de Alhambra, con la participación de 90 niños aproximadamente de la Fundación Jardín de Amor. -Igualmente el mismo sábado 14 de agosto se realizó en compañía de Corbolivar, se realizó el tradicional Desfile de Caballitos de Palo, evento que llegó a su versión número XXI y que contó con la participación de más de 200 niños y corporaciones culturales del Distrito Comercial</v>
      </c>
    </row>
    <row r="72" spans="1:8" hidden="1" x14ac:dyDescent="0.2">
      <c r="A72">
        <f>+Hoja2!A72</f>
        <v>203023</v>
      </c>
      <c r="B72" s="10" t="str">
        <f>+MID(+Hoja2!B72,1,10)</f>
        <v>27/08/21</v>
      </c>
      <c r="C72">
        <f>+VLOOKUP(D72,DepMaster!$B:$C,2,FALSE)</f>
        <v>761</v>
      </c>
      <c r="D72" t="str">
        <f>+Hoja2!C72</f>
        <v>Departamento Administrativo de Planeación</v>
      </c>
      <c r="E72" s="12" t="str">
        <f>+MID(Hoja2!F72,1,2)</f>
        <v>01</v>
      </c>
      <c r="F72" t="str">
        <f>+MID(Hoja2!F72,4,20)</f>
        <v>POPULAR</v>
      </c>
      <c r="G72" t="str">
        <f>+Hoja2!G72</f>
        <v xml:space="preserve">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
</v>
      </c>
      <c r="H72" t="str">
        <f>+Hoja2!H72</f>
        <v>N/A</v>
      </c>
    </row>
    <row r="73" spans="1:8" hidden="1" x14ac:dyDescent="0.2">
      <c r="A73">
        <f>+Hoja2!A73</f>
        <v>203023</v>
      </c>
      <c r="B73" s="10" t="str">
        <f>+MID(+Hoja2!B73,1,10)</f>
        <v>27/08/21</v>
      </c>
      <c r="C73">
        <f>+VLOOKUP(D73,DepMaster!$B:$C,2,FALSE)</f>
        <v>761</v>
      </c>
      <c r="D73" t="str">
        <f>+Hoja2!C73</f>
        <v>Departamento Administrativo de Planeación</v>
      </c>
      <c r="E73" s="12" t="str">
        <f>+MID(Hoja2!F73,1,2)</f>
        <v>01</v>
      </c>
      <c r="F73" t="str">
        <f>+MID(Hoja2!F73,4,20)</f>
        <v>POPULAR</v>
      </c>
      <c r="G73" t="str">
        <f>+Hoja2!G73</f>
        <v xml:space="preserve">Existe documento de trabajo sobre la reglamentación de la Plusvalía por Obra Pública y de la PPPMAEP.
</v>
      </c>
      <c r="H73" t="str">
        <f>+Hoja2!H73</f>
        <v>N/A</v>
      </c>
    </row>
    <row r="74" spans="1:8" hidden="1" x14ac:dyDescent="0.2">
      <c r="A74">
        <f>+Hoja2!A74</f>
        <v>203023</v>
      </c>
      <c r="B74" s="10" t="str">
        <f>+MID(+Hoja2!B74,1,10)</f>
        <v>27/08/21</v>
      </c>
      <c r="C74">
        <f>+VLOOKUP(D74,DepMaster!$B:$C,2,FALSE)</f>
        <v>761</v>
      </c>
      <c r="D74" t="str">
        <f>+Hoja2!C74</f>
        <v>Departamento Administrativo de Planeación</v>
      </c>
      <c r="E74" s="12" t="str">
        <f>+MID(Hoja2!F74,1,2)</f>
        <v>01</v>
      </c>
      <c r="F74" t="str">
        <f>+MID(Hoja2!F74,4,20)</f>
        <v>POPULAR</v>
      </c>
      <c r="G74" t="str">
        <f>+Hoja2!G74</f>
        <v>Avance en la implementación de los primeros encuentros pedagógicos en los territorios, los cuales han sido recibidos de manera asertiva y comprometida por parte de los diferentes actores participantes .</v>
      </c>
      <c r="H74" t="str">
        <f>+Hoja2!H74</f>
        <v>N/A</v>
      </c>
    </row>
    <row r="75" spans="1:8" hidden="1" x14ac:dyDescent="0.2">
      <c r="A75">
        <f>+Hoja2!A75</f>
        <v>203023</v>
      </c>
      <c r="B75" s="10" t="str">
        <f>+MID(+Hoja2!B75,1,10)</f>
        <v>27/08/21</v>
      </c>
      <c r="C75">
        <f>+VLOOKUP(D75,DepMaster!$B:$C,2,FALSE)</f>
        <v>714</v>
      </c>
      <c r="D75" t="str">
        <f>+Hoja2!C75</f>
        <v>Buen Comienzo</v>
      </c>
      <c r="E75" s="12" t="str">
        <f>+MID(Hoja2!F75,1,2)</f>
        <v>03</v>
      </c>
      <c r="F75" t="str">
        <f>+MID(Hoja2!F75,4,20)</f>
        <v>MANRIQUE</v>
      </c>
      <c r="G75" t="str">
        <f>+Hoja2!G75</f>
        <v>Lanzamiento del tablero de analítica y predictiva para la prevención de embarazo adolescente, en articulación con las Secretarías de Salud y Educación.</v>
      </c>
      <c r="H75" t="str">
        <f>+Hoja2!H75</f>
        <v>250 personas impactadas en el evento.</v>
      </c>
    </row>
    <row r="76" spans="1:8" hidden="1" x14ac:dyDescent="0.2">
      <c r="A76">
        <f>+Hoja2!A76</f>
        <v>203023</v>
      </c>
      <c r="B76" s="10" t="str">
        <f>+MID(+Hoja2!B76,1,10)</f>
        <v>27/08/21</v>
      </c>
      <c r="C76">
        <f>+VLOOKUP(D76,DepMaster!$B:$C,2,FALSE)</f>
        <v>714</v>
      </c>
      <c r="D76" t="str">
        <f>+Hoja2!C76</f>
        <v>Buen Comienzo</v>
      </c>
      <c r="E76" s="12" t="str">
        <f>+MID(Hoja2!F76,1,2)</f>
        <v>01</v>
      </c>
      <c r="F76" t="str">
        <f>+MID(Hoja2!F76,4,20)</f>
        <v>POPULAR</v>
      </c>
      <c r="G76" t="str">
        <f>+Hoja2!G76</f>
        <v>Se continua en la vacunación del refuerzo del rubeola y sarampión a todos los niños y niñas de las diferentes sedes, por lo cual se impacta en todas las comunas.</v>
      </c>
      <c r="H76" t="str">
        <f>+Hoja2!H76</f>
        <v xml:space="preserve">Impactará en gran manera el bienestar de 46.565 niños y niñas.
</v>
      </c>
    </row>
    <row r="77" spans="1:8" hidden="1" x14ac:dyDescent="0.2">
      <c r="A77">
        <f>+Hoja2!A77</f>
        <v>203023</v>
      </c>
      <c r="B77" s="10" t="str">
        <f>+MID(+Hoja2!B77,1,10)</f>
        <v>27/08/21</v>
      </c>
      <c r="C77">
        <f>+VLOOKUP(D77,DepMaster!$B:$C,2,FALSE)</f>
        <v>711</v>
      </c>
      <c r="D77" t="str">
        <f>+Hoja2!C77</f>
        <v>Secretaría de Educación</v>
      </c>
      <c r="E77" s="12" t="str">
        <f>+MID(Hoja2!F77,1,2)</f>
        <v>05</v>
      </c>
      <c r="F77" t="str">
        <f>+MID(Hoja2!F77,4,20)</f>
        <v>CASTILLA</v>
      </c>
      <c r="G77" t="str">
        <f>+Hoja2!G77</f>
        <v xml:space="preserve">Presencialidad
 99,5% Establecimientos Educativos Oficiales y Privados en Presencialidad
 93,2% Estudiantes en Presencialidad
98,7% Docentes de Instituciones Educativas Oficiales en Presencialidad.
</v>
      </c>
      <c r="H77" t="str">
        <f>+Hoja2!H77</f>
        <v xml:space="preserve">Presencialidad
 99,5% Establecimientos Educativos Oficiales y Privados en Presencialidad
 93,2% Estudiantes en Presencialidad
98,7% Docentes de Instituciones Educativas Oficiales en Presencialidad.
</v>
      </c>
    </row>
    <row r="78" spans="1:8" hidden="1" x14ac:dyDescent="0.2">
      <c r="A78">
        <f>+Hoja2!A78</f>
        <v>203023</v>
      </c>
      <c r="B78" s="10" t="str">
        <f>+MID(+Hoja2!B78,1,10)</f>
        <v>27/08/21</v>
      </c>
      <c r="C78">
        <f>+VLOOKUP(D78,DepMaster!$B:$C,2,FALSE)</f>
        <v>711</v>
      </c>
      <c r="D78" t="str">
        <f>+Hoja2!C78</f>
        <v>Secretaría de Educación</v>
      </c>
      <c r="E78" s="12" t="str">
        <f>+MID(Hoja2!F78,1,2)</f>
        <v>70</v>
      </c>
      <c r="F78" t="str">
        <f>+MID(Hoja2!F78,4,20)</f>
        <v>ALTAVISTA</v>
      </c>
      <c r="G78" t="str">
        <f>+Hoja2!G78</f>
        <v xml:space="preserve">Transformación Curricular
Estas son las comunas (13), instituciones educativas (18 I.E), con asesorías y asistencias técnicas (AAT= 15), en el marco del cumplimioento de la meta del indicador del PDM 2020-2023 Medellín Futuro: I.E Oficiales acompañadas para la adecuación de su modelo curricular en la 4ta Revolución Industrial:
Semana del 17 al 20 de agosto de 2021:
Comuna 1: 1 I.E
Comuna 2: 2 I.E 
Comuna 4: 1 I.E
Comuna 5: 2 I.E 
Comuna 7: 1 I.E 
Comuna 8: 3 I.E
Comuna 9: 2 I.E 
Comuna 13: 1 I.E 
Comuna 14: 1 I.E
Comuna 16: 1 I.E 
Comuna 60: 1 C.E
Comuna 70: 1 I.E
Comuna 80: 1 I.E 
</v>
      </c>
      <c r="H78" t="str">
        <f>+Hoja2!H78</f>
        <v xml:space="preserve">Transformación Curricular
Estas son las comunas (13), instituciones educativas (18 I.E), con asesorías y asistencias técnicas (AAT= 15), en el marco del cumplimioento de la meta del indicador del PDM 2020-2023 Medellín Futuro: I.E Oficiales acompañadas para la adecuación de su modelo curricular en la 4ta Revolución Industrial:
Semana del 17 al 20 de agosto de 2021:
Comuna 1: 1 I.E
Comuna 2: 2 I.E 
Comuna 4: 1 I.E
Comuna 5: 2 I.E 
Comuna 7: 1 I.E 
Comuna 8: 3 I.E
Comuna 9: 2 I.E 
Comuna 13: 1 I.E 
Comuna 14: 1 I.E
Comuna 16: 1 I.E 
Comuna 60: 1 C.E
Comuna 70: 1 I.E
Comuna 80: 1 I.E 
</v>
      </c>
    </row>
    <row r="79" spans="1:8" hidden="1" x14ac:dyDescent="0.2">
      <c r="A79">
        <f>+Hoja2!A79</f>
        <v>203023</v>
      </c>
      <c r="B79" s="10" t="str">
        <f>+MID(+Hoja2!B79,1,10)</f>
        <v>27/08/21</v>
      </c>
      <c r="C79">
        <f>+VLOOKUP(D79,DepMaster!$B:$C,2,FALSE)</f>
        <v>711</v>
      </c>
      <c r="D79" t="str">
        <f>+Hoja2!C79</f>
        <v>Secretaría de Educación</v>
      </c>
      <c r="E79" s="12" t="str">
        <f>+MID(Hoja2!F79,1,2)</f>
        <v>60</v>
      </c>
      <c r="F79" t="str">
        <f>+MID(Hoja2!F79,4,20)</f>
        <v>SAN CRISTOBAL</v>
      </c>
      <c r="G79" t="str">
        <f>+Hoja2!G79</f>
        <v>Educación T&amp;T
Formación en ROBÓTICA BÁSICA dirigido a estudiantes de grado 8 y 9 de las instituciones educativas: 
Estudiantes inscritos 60
Cantidad docentes beneficiados:
Comuna 1:   2
Comuna 2:   1
Comuna 4    3
Comuna 5:   6
Comuna 6:   6
Comuna 7:   4
Comuna 8:   1
Comuna 9:   3
Comuna 13:  5
Comuna 14:  1
Comuna15 :  14
Comuna 16:  7
Comuna 60:  5 
Comuna 70:  1 
Comuna 80:  1</v>
      </c>
      <c r="H79" t="str">
        <f>+Hoja2!H79</f>
        <v>Educación T&amp;T
Formación en ROBÓTICA BÁSICA dirigido a estudiantes de grado 8 y 9 de las instituciones educativas: 
Estudiantes inscritos 60
Cantidad docentes beneficiados:
Comuna 1:   2
Comuna 2:   1
Comuna 4    3
Comuna 5:   6
Comuna 6:   6
Comuna 7:   4
Comuna 8:   1
Comuna 9:   3
Comuna 13:  5
Comuna 14:  1
Comuna15 :  14
Comuna 16:  7
Comuna 60:  5 
Comuna 70:  1 
Comuna 80:  1</v>
      </c>
    </row>
    <row r="80" spans="1:8" x14ac:dyDescent="0.2">
      <c r="A80">
        <f>+Hoja2!A80</f>
        <v>203023</v>
      </c>
      <c r="B80" s="10" t="str">
        <f>+MID(+Hoja2!B80,1,10)</f>
        <v>27/08/21</v>
      </c>
      <c r="C80">
        <f>+VLOOKUP(D80,DepMaster!$B:$C,2,FALSE)</f>
        <v>712</v>
      </c>
      <c r="D80" t="str">
        <f>+Hoja2!C80</f>
        <v>Secretaría de Participación Ciudadana</v>
      </c>
      <c r="E80" s="12" t="str">
        <f>+MID(Hoja2!F80,1,2)</f>
        <v>07</v>
      </c>
      <c r="F80" t="str">
        <f>+MID(Hoja2!F80,4,20)</f>
        <v>ROBLEDO</v>
      </c>
      <c r="G80" t="str">
        <f>+Hoja2!G80</f>
        <v>Comuna 7, Robledo: 1 Encuentro sectorial en el marco de las elecciones de los CCCP
21/08/2021 ONG</v>
      </c>
      <c r="H80" t="str">
        <f>+Hoja2!H80</f>
        <v>N/A</v>
      </c>
    </row>
    <row r="81" spans="1:8" hidden="1" x14ac:dyDescent="0.2">
      <c r="A81">
        <f>+Hoja2!A81</f>
        <v>203023</v>
      </c>
      <c r="B81" s="10" t="str">
        <f>+MID(+Hoja2!B81,1,10)</f>
        <v>27/08/21</v>
      </c>
      <c r="C81">
        <f>+VLOOKUP(D81,DepMaster!$B:$C,2,FALSE)</f>
        <v>712</v>
      </c>
      <c r="D81" t="str">
        <f>+Hoja2!C81</f>
        <v>Secretaría de Participación Ciudadana</v>
      </c>
      <c r="E81" s="12" t="str">
        <f>+MID(Hoja2!F81,1,2)</f>
        <v>12</v>
      </c>
      <c r="F81" t="str">
        <f>+MID(Hoja2!F81,4,20)</f>
        <v>LA AMERICA</v>
      </c>
      <c r="G81" t="str">
        <f>+Hoja2!G81</f>
        <v>"Comuna 12, La América: 34 Encuentros sectoriales en el marco de las elecciones de los CCCP
18/08/2021 Jóvenes
18/08/2021 Actividades económicas
18/08/2021 Industria
18/08/2021 Comercio
18/08/2021 Construcción
18/08/2021 ONG
18/08/2021 Personas con Discapacidad
18/08/2021 UNIVERSIDADES, INSTITUCIONES UNIVERSITARIAS Y CENTROS DE INVESTIGACIÓN LEGALMENTE RECONOCIDOS
18/08/2021 I.E Públicas y Privadas
18/08/2021 Trabajadores Sindicalizados
18/08/2021 Economía social solidaria
18/08/2021 Afrodescendiente
18/08/2021 LGTBI
18/08/2021 Indígenas
18/08/2021 Organizaciones basadas en la fe
18/08/2021 Campesinos
18/08/2021 Economía Informal
18/08/2021 Cultura
18/08/2021 Barrismo
18/08/2021 Infancia y Adolescencia
18/08/2021 Movilidad
18/08/2021 Servicios Profesionales
18/08/2021 Infraestructura
18/08/2021 Víctimas
18/08/2021 DDHH
18/08/2021 Estudiantes universitarios
18/08/2021 Recreación y Deporte
18/08/2021 Adulto mayor
18/08/2021 Organizaciones sociales
18/08/2021 Ecológico Ambiental
18/08/2021 Mujeres
18/08/2021 Comunicaciones
18/08/2021 Veedurías
18/08/2021 Salud
"</v>
      </c>
      <c r="H81" t="str">
        <f>+Hoja2!H81</f>
        <v>N/A</v>
      </c>
    </row>
    <row r="82" spans="1:8" hidden="1" x14ac:dyDescent="0.2">
      <c r="A82">
        <f>+Hoja2!A82</f>
        <v>203023</v>
      </c>
      <c r="B82" s="10" t="str">
        <f>+MID(+Hoja2!B82,1,10)</f>
        <v>27/08/21</v>
      </c>
      <c r="C82">
        <f>+VLOOKUP(D82,DepMaster!$B:$C,2,FALSE)</f>
        <v>712</v>
      </c>
      <c r="D82" t="str">
        <f>+Hoja2!C82</f>
        <v>Secretaría de Participación Ciudadana</v>
      </c>
      <c r="E82" s="12" t="str">
        <f>+MID(Hoja2!F82,1,2)</f>
        <v>50</v>
      </c>
      <c r="F82" t="str">
        <f>+MID(Hoja2!F82,4,20)</f>
        <v>PALMITAS</v>
      </c>
      <c r="G82" t="str">
        <f>+Hoja2!G82</f>
        <v>"Corregimiento 50, San Sebastián de Palmitas:  10 Encuentros sectoriales en el marco de las elecciones de los CCCP.
17/08/2021 I.E Públicas y Privadas
17/08/2021 Organizaciones basadas en la fe
17/08/2021 Emprendimiento
18/08/2021 Jóvenes
18/08/2021 Acueductos veredales
21/08/2021 Estudiantes universitarios
21/08/2021 Construcción
22/08/2021 Cafeteros
22/08/2021 Veedurías
22/08/2021 Víctimas"</v>
      </c>
      <c r="H82" t="str">
        <f>+Hoja2!H82</f>
        <v>N/A</v>
      </c>
    </row>
    <row r="83" spans="1:8" hidden="1" x14ac:dyDescent="0.2">
      <c r="A83">
        <f>+Hoja2!A83</f>
        <v>203023</v>
      </c>
      <c r="B83" s="10" t="str">
        <f>+MID(+Hoja2!B83,1,10)</f>
        <v>27/08/21</v>
      </c>
      <c r="C83">
        <f>+VLOOKUP(D83,DepMaster!$B:$C,2,FALSE)</f>
        <v>712</v>
      </c>
      <c r="D83" t="str">
        <f>+Hoja2!C83</f>
        <v>Secretaría de Participación Ciudadana</v>
      </c>
      <c r="E83" s="12" t="str">
        <f>+MID(Hoja2!F83,1,2)</f>
        <v>70</v>
      </c>
      <c r="F83" t="str">
        <f>+MID(Hoja2!F83,4,20)</f>
        <v>ALTAVISTA</v>
      </c>
      <c r="G83" t="str">
        <f>+Hoja2!G83</f>
        <v>"Corregimiento 70, Altavista: 1 Encuentro sectorial en el marco de las elecciones de los CCCP
17/08/2021 Medios y procesos de comunicación comunicatorios."</v>
      </c>
      <c r="H83" t="str">
        <f>+Hoja2!H83</f>
        <v>N/A</v>
      </c>
    </row>
    <row r="84" spans="1:8" hidden="1" x14ac:dyDescent="0.2">
      <c r="A84">
        <f>+Hoja2!A84</f>
        <v>203023</v>
      </c>
      <c r="B84" s="10" t="str">
        <f>+MID(+Hoja2!B84,1,10)</f>
        <v>27/08/21</v>
      </c>
      <c r="C84">
        <f>+VLOOKUP(D84,DepMaster!$B:$C,2,FALSE)</f>
        <v>712</v>
      </c>
      <c r="D84" t="str">
        <f>+Hoja2!C84</f>
        <v>Secretaría de Participación Ciudadana</v>
      </c>
      <c r="E84" s="12" t="str">
        <f>+MID(Hoja2!F84,1,2)</f>
        <v>01</v>
      </c>
      <c r="F84" t="str">
        <f>+MID(Hoja2!F84,4,20)</f>
        <v>POPULAR</v>
      </c>
      <c r="G84" t="str">
        <f>+Hoja2!G84</f>
        <v>"Encuentro Feminismo, un salvavidas: Micromachismo y sexismo cotidiano. Fecha: 20 de Agosto de 2021. Hora: 02:00 pm
Total de participantes:46
Total de Mujeres: 44 (96%)
Total de Hombre: 2
Reporte Comuna
2. Santa Cruz:1
3. Manrique:2
4. Aranjuez:3
5. Castilla:3
6. Doce de Octubre:2
7. Robledo:6
10. La Candelaría:2
11. Laureles Estadio:1
12. La América:2
13. San Javier:2
15. Guayabal:2
16. Belén:3
60. San Cristóbal:1
80. San Antonio de Prado:1
No especifica:7
Otro Municipio:8
Encuentro Exposición: Paz ¡Creer para ver! Fecha: 18 de Agosto de 2021. Hora: 02:00 pm
Total de participantes:6
Total de Mujeres: 3
Total de Hombre: 3
Reporte Comuna
4. Aranjuez: 1
6. Doce de Octubre: 1
14. El Poblado: 1
16. Belén: 1
No especifica: 2
Encuentro Creación de contenidos audiovisuales para internet. Fecha: 18 de Agosto de 2021. Hora: 10:00 am
Total de participantes:18
Total de Mujeres: 12
Total de Hombre: 6
Reporte Comuna
1. Popular: 2
2. Santa Cruz: 1
4. Aranjuez: 1
5. Castilla: 2
7. Robledo: 2
14. El Poblado: 1
16. Belén: 3
70. Altavista: 1
No especifica: 4
Otro Municipio: 1"</v>
      </c>
      <c r="H84" t="str">
        <f>+Hoja2!H84</f>
        <v>N/A</v>
      </c>
    </row>
    <row r="85" spans="1:8" hidden="1" x14ac:dyDescent="0.2">
      <c r="A85">
        <f>+Hoja2!A85</f>
        <v>203023</v>
      </c>
      <c r="B85" s="10" t="str">
        <f>+MID(+Hoja2!B85,1,10)</f>
        <v>27/08/21</v>
      </c>
      <c r="C85">
        <f>+VLOOKUP(D85,DepMaster!$B:$C,2,FALSE)</f>
        <v>721</v>
      </c>
      <c r="D85" t="str">
        <f>+Hoja2!C85</f>
        <v>Secretaría de Salud</v>
      </c>
      <c r="E85" s="12" t="str">
        <f>+MID(Hoja2!F85,1,2)</f>
        <v>01</v>
      </c>
      <c r="F85" t="str">
        <f>+MID(Hoja2!F85,4,20)</f>
        <v>POPULAR</v>
      </c>
      <c r="G85" t="str">
        <f>+Hoja2!G85</f>
        <v>.</v>
      </c>
      <c r="H85" t="str">
        <f>+Hoja2!H85</f>
        <v>.</v>
      </c>
    </row>
    <row r="86" spans="1:8" hidden="1" x14ac:dyDescent="0.2">
      <c r="A86">
        <f>+Hoja2!A86</f>
        <v>203023</v>
      </c>
      <c r="B86" s="10" t="str">
        <f>+MID(+Hoja2!B86,1,10)</f>
        <v>27/08/21</v>
      </c>
      <c r="C86">
        <f>+VLOOKUP(D86,DepMaster!$B:$C,2,FALSE)</f>
        <v>752</v>
      </c>
      <c r="D86" t="str">
        <f>+Hoja2!C86</f>
        <v>Secretaria de Innovación Digital</v>
      </c>
      <c r="E86" s="12" t="str">
        <f>+MID(Hoja2!F86,1,2)</f>
        <v>50</v>
      </c>
      <c r="F86" t="str">
        <f>+MID(Hoja2!F86,4,20)</f>
        <v>PALMITAS</v>
      </c>
      <c r="G86" t="str">
        <f>+Hoja2!G86</f>
        <v>Servicios de conectividad a Internet mediante Prueba Piloto del servicio White Space</v>
      </c>
      <c r="H86" t="str">
        <f>+Hoja2!H86</f>
        <v>4 hogares (16 personas)</v>
      </c>
    </row>
    <row r="87" spans="1:8" hidden="1" x14ac:dyDescent="0.2">
      <c r="A87">
        <f>+Hoja2!A87</f>
        <v>203023</v>
      </c>
      <c r="B87" s="10" t="str">
        <f>+MID(+Hoja2!B87,1,10)</f>
        <v>27/08/21</v>
      </c>
      <c r="C87">
        <f>+VLOOKUP(D87,DepMaster!$B:$C,2,FALSE)</f>
        <v>752</v>
      </c>
      <c r="D87" t="str">
        <f>+Hoja2!C87</f>
        <v>Secretaria de Innovación Digital</v>
      </c>
      <c r="E87" s="12" t="str">
        <f>+MID(Hoja2!F87,1,2)</f>
        <v>13</v>
      </c>
      <c r="F87" t="str">
        <f>+MID(Hoja2!F87,4,20)</f>
        <v>SAN JAVIER</v>
      </c>
      <c r="G87">
        <f>+Hoja2!G87</f>
        <v>0</v>
      </c>
      <c r="H87">
        <f>+Hoja2!H87</f>
        <v>0</v>
      </c>
    </row>
    <row r="88" spans="1:8" hidden="1" x14ac:dyDescent="0.2">
      <c r="A88">
        <f>+Hoja2!A88</f>
        <v>203023</v>
      </c>
      <c r="B88" s="10" t="str">
        <f>+MID(+Hoja2!B88,1,10)</f>
        <v>27/08/21</v>
      </c>
      <c r="C88">
        <f>+VLOOKUP(D88,DepMaster!$B:$C,2,FALSE)</f>
        <v>733</v>
      </c>
      <c r="D88" t="str">
        <f>+Hoja2!C88</f>
        <v>Departamento Administrativo de Gestión del Riesgo de Desastres</v>
      </c>
      <c r="E88" s="12" t="str">
        <f>+MID(Hoja2!F88,1,2)</f>
        <v>90</v>
      </c>
      <c r="F88" t="str">
        <f>+MID(Hoja2!F88,4,20)</f>
        <v>SANTA ELENA</v>
      </c>
      <c r="G88" t="str">
        <f>+Hoja2!G88</f>
        <v xml:space="preserve">Se realizarán talleres en el Colegio The New School en compañía de secretaría de juventud y secretaría de mujeres. Se espera impactar aproximadamente 500 estudiantes y 90 personas de planta de la institución. </v>
      </c>
      <c r="H88" t="str">
        <f>+Hoja2!H88</f>
        <v>Sin dato</v>
      </c>
    </row>
    <row r="89" spans="1:8" hidden="1" x14ac:dyDescent="0.2">
      <c r="A89">
        <f>+Hoja2!A89</f>
        <v>203023</v>
      </c>
      <c r="B89" s="10" t="str">
        <f>+MID(+Hoja2!B89,1,10)</f>
        <v>27/08/21</v>
      </c>
      <c r="C89">
        <f>+VLOOKUP(D89,DepMaster!$B:$C,2,FALSE)</f>
        <v>733</v>
      </c>
      <c r="D89" t="str">
        <f>+Hoja2!C89</f>
        <v>Departamento Administrativo de Gestión del Riesgo de Desastres</v>
      </c>
      <c r="E89" s="12" t="str">
        <f>+MID(Hoja2!F89,1,2)</f>
        <v>10</v>
      </c>
      <c r="F89" t="str">
        <f>+MID(Hoja2!F89,4,20)</f>
        <v>LA CANDELARIA</v>
      </c>
      <c r="G89" t="str">
        <f>+Hoja2!G89</f>
        <v xml:space="preserve">Participación en la feria de servicios municipales para los inquilinatos, donde daremos a conocer nuestros ejes temáticos.
</v>
      </c>
      <c r="H89" t="str">
        <f>+Hoja2!H89</f>
        <v>Sin dato</v>
      </c>
    </row>
    <row r="90" spans="1:8" hidden="1" x14ac:dyDescent="0.2">
      <c r="A90">
        <f>+Hoja2!A90</f>
        <v>203023</v>
      </c>
      <c r="B90" s="10" t="str">
        <f>+MID(+Hoja2!B90,1,10)</f>
        <v>27/08/21</v>
      </c>
      <c r="C90">
        <f>+VLOOKUP(D90,DepMaster!$B:$C,2,FALSE)</f>
        <v>733</v>
      </c>
      <c r="D90" t="str">
        <f>+Hoja2!C90</f>
        <v>Departamento Administrativo de Gestión del Riesgo de Desastres</v>
      </c>
      <c r="E90" s="12" t="str">
        <f>+MID(Hoja2!F90,1,2)</f>
        <v>01</v>
      </c>
      <c r="F90" t="str">
        <f>+MID(Hoja2!F90,4,20)</f>
        <v>POPULAR</v>
      </c>
      <c r="G90" t="str">
        <f>+Hoja2!G90</f>
        <v xml:space="preserve">comuna 1 talleres en institución de buen comienzo 
</v>
      </c>
      <c r="H90" t="str">
        <f>+Hoja2!H90</f>
        <v>Sin dato</v>
      </c>
    </row>
    <row r="91" spans="1:8" hidden="1" x14ac:dyDescent="0.2">
      <c r="A91">
        <f>+Hoja2!A91</f>
        <v>203023</v>
      </c>
      <c r="B91" s="10" t="str">
        <f>+MID(+Hoja2!B91,1,10)</f>
        <v>27/08/21</v>
      </c>
      <c r="C91">
        <f>+VLOOKUP(D91,DepMaster!$B:$C,2,FALSE)</f>
        <v>733</v>
      </c>
      <c r="D91" t="str">
        <f>+Hoja2!C91</f>
        <v>Departamento Administrativo de Gestión del Riesgo de Desastres</v>
      </c>
      <c r="E91" s="12" t="str">
        <f>+MID(Hoja2!F91,1,2)</f>
        <v>10</v>
      </c>
      <c r="F91" t="str">
        <f>+MID(Hoja2!F91,4,20)</f>
        <v>LA CANDELARIA</v>
      </c>
      <c r="G91" t="str">
        <f>+Hoja2!G91</f>
        <v xml:space="preserve">el 26 de agosto, se realizará la primera jornada de trabajo con la mesa  para revisar el estado actual de los Comités Comunitarios de Gestión del Riesgo de Desastres (CCGRD), retos, desafíos y futuro como pieza fundamental en la ciudad para la gestión del riesgo de desastres.
</v>
      </c>
      <c r="H91" t="str">
        <f>+Hoja2!H91</f>
        <v>Sin dato</v>
      </c>
    </row>
    <row r="92" spans="1:8" hidden="1" x14ac:dyDescent="0.2">
      <c r="A92">
        <f>+Hoja2!A92</f>
        <v>203023</v>
      </c>
      <c r="B92" s="10" t="str">
        <f>+MID(+Hoja2!B92,1,10)</f>
        <v>27/08/21</v>
      </c>
      <c r="C92">
        <f>+VLOOKUP(D92,DepMaster!$B:$C,2,FALSE)</f>
        <v>733</v>
      </c>
      <c r="D92" t="str">
        <f>+Hoja2!C92</f>
        <v>Departamento Administrativo de Gestión del Riesgo de Desastres</v>
      </c>
      <c r="E92" s="12" t="str">
        <f>+MID(Hoja2!F92,1,2)</f>
        <v>04</v>
      </c>
      <c r="F92" t="str">
        <f>+MID(Hoja2!F92,4,20)</f>
        <v>ARANJUEZ</v>
      </c>
      <c r="G92" t="str">
        <f>+Hoja2!G92</f>
        <v>Se tuvo el encuentro de intercambio de experiencias sobre el COVID-19 como escenario de riesgo de desastres con el COSEGRD Comuna 4</v>
      </c>
      <c r="H92" t="str">
        <f>+Hoja2!H92</f>
        <v>Sin dato</v>
      </c>
    </row>
    <row r="93" spans="1:8" hidden="1" x14ac:dyDescent="0.2">
      <c r="A93">
        <f>+Hoja2!A93</f>
        <v>203023</v>
      </c>
      <c r="B93" s="10" t="str">
        <f>+MID(+Hoja2!B93,1,10)</f>
        <v>27/08/21</v>
      </c>
      <c r="C93">
        <f>+VLOOKUP(D93,DepMaster!$B:$C,2,FALSE)</f>
        <v>733</v>
      </c>
      <c r="D93" t="str">
        <f>+Hoja2!C93</f>
        <v>Departamento Administrativo de Gestión del Riesgo de Desastres</v>
      </c>
      <c r="E93" s="12" t="str">
        <f>+MID(Hoja2!F93,1,2)</f>
        <v>05</v>
      </c>
      <c r="F93" t="str">
        <f>+MID(Hoja2!F93,4,20)</f>
        <v>CASTILLA</v>
      </c>
      <c r="G93" t="str">
        <f>+Hoja2!G93</f>
        <v>comuna 5 Talleres en instituciones de buen comienzo</v>
      </c>
      <c r="H93" t="str">
        <f>+Hoja2!H93</f>
        <v>Sin dato</v>
      </c>
    </row>
    <row r="94" spans="1:8" hidden="1" x14ac:dyDescent="0.2">
      <c r="A94">
        <f>+Hoja2!A94</f>
        <v>203023</v>
      </c>
      <c r="B94" s="10" t="str">
        <f>+MID(+Hoja2!B94,1,10)</f>
        <v>27/08/21</v>
      </c>
      <c r="C94">
        <f>+VLOOKUP(D94,DepMaster!$B:$C,2,FALSE)</f>
        <v>733</v>
      </c>
      <c r="D94" t="str">
        <f>+Hoja2!C94</f>
        <v>Departamento Administrativo de Gestión del Riesgo de Desastres</v>
      </c>
      <c r="E94" s="12" t="str">
        <f>+MID(Hoja2!F94,1,2)</f>
        <v>06</v>
      </c>
      <c r="F94" t="str">
        <f>+MID(Hoja2!F94,4,20)</f>
        <v>DOCE DE OCTUBRE</v>
      </c>
      <c r="G94" t="str">
        <f>+Hoja2!G94</f>
        <v>Reunión con el Centro Penitenciario Pedregal para el apoyo y acompañamiento a la implementación del Plan de evacuación. Este centro carcelario cuenta con una población de 3420 internos comuna 6</v>
      </c>
      <c r="H94" t="str">
        <f>+Hoja2!H94</f>
        <v>Sin dato</v>
      </c>
    </row>
    <row r="95" spans="1:8" hidden="1" x14ac:dyDescent="0.2">
      <c r="A95">
        <f>+Hoja2!A95</f>
        <v>203023</v>
      </c>
      <c r="B95" s="10" t="str">
        <f>+MID(+Hoja2!B95,1,10)</f>
        <v>27/08/21</v>
      </c>
      <c r="C95">
        <f>+VLOOKUP(D95,DepMaster!$B:$C,2,FALSE)</f>
        <v>733</v>
      </c>
      <c r="D95" t="str">
        <f>+Hoja2!C95</f>
        <v>Departamento Administrativo de Gestión del Riesgo de Desastres</v>
      </c>
      <c r="E95" s="12" t="str">
        <f>+MID(Hoja2!F95,1,2)</f>
        <v>10</v>
      </c>
      <c r="F95" t="str">
        <f>+MID(Hoja2!F95,4,20)</f>
        <v>LA CANDELARIA</v>
      </c>
      <c r="G95" t="str">
        <f>+Hoja2!G95</f>
        <v xml:space="preserve">Participación en la feria de servicios municipales para los inquilinatos, donde daremos a conocer nuestros ejes temáticos. Comuna 10
</v>
      </c>
      <c r="H95" t="str">
        <f>+Hoja2!H95</f>
        <v>Sin dato</v>
      </c>
    </row>
    <row r="96" spans="1:8" hidden="1" x14ac:dyDescent="0.2">
      <c r="A96">
        <f>+Hoja2!A96</f>
        <v>203023</v>
      </c>
      <c r="B96" s="10" t="str">
        <f>+MID(+Hoja2!B96,1,10)</f>
        <v>27/08/21</v>
      </c>
      <c r="C96">
        <f>+VLOOKUP(D96,DepMaster!$B:$C,2,FALSE)</f>
        <v>707</v>
      </c>
      <c r="D96" t="str">
        <f>+Hoja2!C96</f>
        <v>Secretaría de Servicios y Suministros</v>
      </c>
      <c r="E96" s="12" t="str">
        <f>+MID(Hoja2!F96,1,2)</f>
        <v>04</v>
      </c>
      <c r="F96" t="str">
        <f>+MID(Hoja2!F96,4,20)</f>
        <v>ARANJUEZ</v>
      </c>
      <c r="G96" t="str">
        <f>+Hoja2!G96</f>
        <v>Ruta Medellín Cuida lo Público</v>
      </c>
      <c r="H96" t="str">
        <f>+Hoja2!H96</f>
        <v>no aplica</v>
      </c>
    </row>
    <row r="97" spans="1:8" hidden="1" x14ac:dyDescent="0.2">
      <c r="A97">
        <f>+Hoja2!A97</f>
        <v>203023</v>
      </c>
      <c r="B97" s="10" t="str">
        <f>+MID(+Hoja2!B97,1,10)</f>
        <v>27/08/21</v>
      </c>
      <c r="C97">
        <f>+VLOOKUP(D97,DepMaster!$B:$C,2,FALSE)</f>
        <v>707</v>
      </c>
      <c r="D97" t="str">
        <f>+Hoja2!C97</f>
        <v>Secretaría de Servicios y Suministros</v>
      </c>
      <c r="E97" s="12" t="str">
        <f>+MID(Hoja2!F97,1,2)</f>
        <v>16</v>
      </c>
      <c r="F97" t="str">
        <f>+MID(Hoja2!F97,4,20)</f>
        <v>BELEN</v>
      </c>
      <c r="G97" t="str">
        <f>+Hoja2!G97</f>
        <v>Ruta Medellín Cuida lo Público</v>
      </c>
      <c r="H97" t="str">
        <f>+Hoja2!H97</f>
        <v>no aplica</v>
      </c>
    </row>
    <row r="98" spans="1:8" hidden="1" x14ac:dyDescent="0.2">
      <c r="A98">
        <f>+Hoja2!A98</f>
        <v>203023</v>
      </c>
      <c r="B98" s="10" t="str">
        <f>+MID(+Hoja2!B98,1,10)</f>
        <v>27/08/21</v>
      </c>
      <c r="C98">
        <f>+VLOOKUP(D98,DepMaster!$B:$C,2,FALSE)</f>
        <v>707</v>
      </c>
      <c r="D98" t="str">
        <f>+Hoja2!C98</f>
        <v>Secretaría de Servicios y Suministros</v>
      </c>
      <c r="E98" s="12" t="str">
        <f>+MID(Hoja2!F98,1,2)</f>
        <v>15</v>
      </c>
      <c r="F98" t="str">
        <f>+MID(Hoja2!F98,4,20)</f>
        <v>GUAYABAL</v>
      </c>
      <c r="G98" t="str">
        <f>+Hoja2!G98</f>
        <v>Ruta Medellín Cuida lo Público</v>
      </c>
      <c r="H98">
        <f>+Hoja2!H98</f>
        <v>0</v>
      </c>
    </row>
    <row r="99" spans="1:8" hidden="1" x14ac:dyDescent="0.2">
      <c r="A99">
        <f>+Hoja2!A99</f>
        <v>203023</v>
      </c>
      <c r="B99" s="10" t="str">
        <f>+MID(+Hoja2!B99,1,10)</f>
        <v>27/08/21</v>
      </c>
      <c r="C99">
        <f>+VLOOKUP(D99,DepMaster!$B:$C,2,FALSE)</f>
        <v>707</v>
      </c>
      <c r="D99" t="str">
        <f>+Hoja2!C99</f>
        <v>Secretaría de Servicios y Suministros</v>
      </c>
      <c r="E99" s="12" t="str">
        <f>+MID(Hoja2!F99,1,2)</f>
        <v>01</v>
      </c>
      <c r="F99" t="str">
        <f>+MID(Hoja2!F99,4,20)</f>
        <v>POPULAR</v>
      </c>
      <c r="G99" t="str">
        <f>+Hoja2!G99</f>
        <v>Ruta Medellín Cuida lo Público</v>
      </c>
      <c r="H99">
        <f>+Hoja2!H99</f>
        <v>0</v>
      </c>
    </row>
    <row r="100" spans="1:8" hidden="1" x14ac:dyDescent="0.2">
      <c r="A100">
        <f>+Hoja2!A100</f>
        <v>203023</v>
      </c>
      <c r="B100" s="10" t="str">
        <f>+MID(+Hoja2!B100,1,10)</f>
        <v>27/08/21</v>
      </c>
      <c r="C100">
        <f>+VLOOKUP(D100,DepMaster!$B:$C,2,FALSE)</f>
        <v>707</v>
      </c>
      <c r="D100" t="str">
        <f>+Hoja2!C100</f>
        <v>Secretaría de Servicios y Suministros</v>
      </c>
      <c r="E100" s="12" t="str">
        <f>+MID(Hoja2!F100,1,2)</f>
        <v>06</v>
      </c>
      <c r="F100" t="str">
        <f>+MID(Hoja2!F100,4,20)</f>
        <v>DOCE DE OCTUBRE</v>
      </c>
      <c r="G100" t="str">
        <f>+Hoja2!G100</f>
        <v>Ruta Medellín Cuida lo Público</v>
      </c>
      <c r="H100">
        <f>+Hoja2!H100</f>
        <v>0</v>
      </c>
    </row>
    <row r="101" spans="1:8" hidden="1" x14ac:dyDescent="0.2">
      <c r="A101">
        <f>+Hoja2!A101</f>
        <v>203023</v>
      </c>
      <c r="B101" s="10" t="str">
        <f>+MID(+Hoja2!B101,1,10)</f>
        <v>27/08/21</v>
      </c>
      <c r="C101">
        <f>+VLOOKUP(D101,DepMaster!$B:$C,2,FALSE)</f>
        <v>707</v>
      </c>
      <c r="D101" t="str">
        <f>+Hoja2!C101</f>
        <v>Secretaría de Servicios y Suministros</v>
      </c>
      <c r="E101" s="12" t="str">
        <f>+MID(Hoja2!F101,1,2)</f>
        <v>10</v>
      </c>
      <c r="F101" t="str">
        <f>+MID(Hoja2!F101,4,20)</f>
        <v>LA CANDELARIA</v>
      </c>
      <c r="G101" t="str">
        <f>+Hoja2!G101</f>
        <v>Ruta Medellín Cuida lo Público</v>
      </c>
      <c r="H101">
        <f>+Hoja2!H101</f>
        <v>0</v>
      </c>
    </row>
    <row r="102" spans="1:8" hidden="1" x14ac:dyDescent="0.2"/>
    <row r="103" spans="1:8" hidden="1" x14ac:dyDescent="0.2"/>
    <row r="104" spans="1:8" hidden="1" x14ac:dyDescent="0.2"/>
    <row r="105" spans="1:8" hidden="1" x14ac:dyDescent="0.2"/>
    <row r="106" spans="1:8" hidden="1" x14ac:dyDescent="0.2"/>
    <row r="107" spans="1:8" hidden="1" x14ac:dyDescent="0.2"/>
    <row r="108" spans="1:8" hidden="1" x14ac:dyDescent="0.2"/>
    <row r="109" spans="1:8" hidden="1" x14ac:dyDescent="0.2"/>
    <row r="110" spans="1:8" hidden="1" x14ac:dyDescent="0.2"/>
    <row r="111" spans="1:8" hidden="1" x14ac:dyDescent="0.2"/>
    <row r="112" spans="1:8"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sheetData>
  <autoFilter ref="A1:H132" xr:uid="{00000000-0001-0000-0200-000000000000}">
    <filterColumn colId="4">
      <filters>
        <filter val="07"/>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C26"/>
  <sheetViews>
    <sheetView workbookViewId="0">
      <selection activeCell="F25" sqref="F25"/>
    </sheetView>
  </sheetViews>
  <sheetFormatPr baseColWidth="10" defaultRowHeight="15" x14ac:dyDescent="0.2"/>
  <cols>
    <col min="2" max="2" width="55.1640625" bestFit="1" customWidth="1"/>
  </cols>
  <sheetData>
    <row r="1" spans="2:3" x14ac:dyDescent="0.2">
      <c r="B1" t="s">
        <v>122</v>
      </c>
      <c r="C1" t="s">
        <v>127</v>
      </c>
    </row>
    <row r="2" spans="2:3" x14ac:dyDescent="0.2">
      <c r="B2" t="s">
        <v>73</v>
      </c>
      <c r="C2">
        <v>761</v>
      </c>
    </row>
    <row r="3" spans="2:3" x14ac:dyDescent="0.2">
      <c r="B3" t="s">
        <v>68</v>
      </c>
      <c r="C3">
        <v>956</v>
      </c>
    </row>
    <row r="4" spans="2:3" x14ac:dyDescent="0.2">
      <c r="B4" t="s">
        <v>76</v>
      </c>
      <c r="C4">
        <v>723</v>
      </c>
    </row>
    <row r="5" spans="2:3" x14ac:dyDescent="0.2">
      <c r="B5" t="s">
        <v>78</v>
      </c>
      <c r="C5">
        <v>751</v>
      </c>
    </row>
    <row r="6" spans="2:3" x14ac:dyDescent="0.2">
      <c r="B6" t="s">
        <v>86</v>
      </c>
      <c r="C6">
        <v>762</v>
      </c>
    </row>
    <row r="7" spans="2:3" x14ac:dyDescent="0.2">
      <c r="B7" t="s">
        <v>88</v>
      </c>
      <c r="C7">
        <v>742</v>
      </c>
    </row>
    <row r="8" spans="2:3" x14ac:dyDescent="0.2">
      <c r="B8" t="s">
        <v>93</v>
      </c>
      <c r="C8">
        <v>705</v>
      </c>
    </row>
    <row r="9" spans="2:3" x14ac:dyDescent="0.2">
      <c r="B9" t="s">
        <v>94</v>
      </c>
      <c r="C9">
        <v>703</v>
      </c>
    </row>
    <row r="10" spans="2:3" x14ac:dyDescent="0.2">
      <c r="B10" t="s">
        <v>96</v>
      </c>
      <c r="C10">
        <v>732</v>
      </c>
    </row>
    <row r="11" spans="2:3" x14ac:dyDescent="0.2">
      <c r="B11" t="s">
        <v>101</v>
      </c>
      <c r="C11">
        <v>724</v>
      </c>
    </row>
    <row r="12" spans="2:3" x14ac:dyDescent="0.2">
      <c r="B12" t="s">
        <v>102</v>
      </c>
      <c r="C12">
        <v>771</v>
      </c>
    </row>
    <row r="13" spans="2:3" x14ac:dyDescent="0.2">
      <c r="B13" t="s">
        <v>104</v>
      </c>
      <c r="C13">
        <v>711</v>
      </c>
    </row>
    <row r="14" spans="2:3" x14ac:dyDescent="0.2">
      <c r="B14" t="s">
        <v>105</v>
      </c>
      <c r="C14">
        <v>706</v>
      </c>
    </row>
    <row r="15" spans="2:3" x14ac:dyDescent="0.2">
      <c r="B15" t="s">
        <v>106</v>
      </c>
      <c r="C15">
        <v>714</v>
      </c>
    </row>
    <row r="16" spans="2:3" x14ac:dyDescent="0.2">
      <c r="B16" t="s">
        <v>107</v>
      </c>
      <c r="C16">
        <v>752</v>
      </c>
    </row>
    <row r="17" spans="2:3" x14ac:dyDescent="0.2">
      <c r="B17" t="s">
        <v>108</v>
      </c>
      <c r="C17">
        <v>722</v>
      </c>
    </row>
    <row r="18" spans="2:3" x14ac:dyDescent="0.2">
      <c r="B18" t="s">
        <v>109</v>
      </c>
      <c r="C18">
        <v>753</v>
      </c>
    </row>
    <row r="19" spans="2:3" x14ac:dyDescent="0.2">
      <c r="B19" t="s">
        <v>110</v>
      </c>
      <c r="C19">
        <v>713</v>
      </c>
    </row>
    <row r="20" spans="2:3" x14ac:dyDescent="0.2">
      <c r="B20" t="s">
        <v>103</v>
      </c>
      <c r="C20">
        <v>954</v>
      </c>
    </row>
    <row r="21" spans="2:3" x14ac:dyDescent="0.2">
      <c r="B21" t="s">
        <v>111</v>
      </c>
      <c r="C21">
        <v>741</v>
      </c>
    </row>
    <row r="22" spans="2:3" x14ac:dyDescent="0.2">
      <c r="B22" t="s">
        <v>112</v>
      </c>
      <c r="C22">
        <v>743</v>
      </c>
    </row>
    <row r="23" spans="2:3" x14ac:dyDescent="0.2">
      <c r="B23" t="s">
        <v>114</v>
      </c>
      <c r="C23">
        <v>721</v>
      </c>
    </row>
    <row r="24" spans="2:3" x14ac:dyDescent="0.2">
      <c r="B24" t="s">
        <v>115</v>
      </c>
      <c r="C24">
        <v>733</v>
      </c>
    </row>
    <row r="25" spans="2:3" x14ac:dyDescent="0.2">
      <c r="B25" t="s">
        <v>117</v>
      </c>
      <c r="C25">
        <v>712</v>
      </c>
    </row>
    <row r="26" spans="2:3" x14ac:dyDescent="0.2">
      <c r="B26" t="s">
        <v>118</v>
      </c>
      <c r="C26">
        <v>707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DepMaster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Vanessa Gonzalez Londoño</dc:creator>
  <cp:lastModifiedBy>Microsoft Office User</cp:lastModifiedBy>
  <dcterms:created xsi:type="dcterms:W3CDTF">2021-08-04T14:47:36Z</dcterms:created>
  <dcterms:modified xsi:type="dcterms:W3CDTF">2021-08-27T14:43:25Z</dcterms:modified>
</cp:coreProperties>
</file>