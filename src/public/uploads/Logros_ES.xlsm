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1" codeName="{6BE1CDB9-6C1C-A5B6-3FC1-E231EC3C600E}"/>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7DA1D5F8-01B4-1F47-9211-635FE879387F}" xr6:coauthVersionLast="47" xr6:coauthVersionMax="47" xr10:uidLastSave="{00000000-0000-0000-0000-000000000000}"/>
  <bookViews>
    <workbookView xWindow="51200" yWindow="5040" windowWidth="38400" windowHeight="19860" xr2:uid="{00000000-000D-0000-FFFF-FFFF00000000}"/>
  </bookViews>
  <sheets>
    <sheet name="Hoja1" sheetId="1" r:id="rId1"/>
    <sheet name="Hoja2" sheetId="2" r:id="rId2"/>
    <sheet name="Hoja3" sheetId="3" r:id="rId3"/>
    <sheet name="DepMaster" sheetId="4" r:id="rId4"/>
  </sheets>
  <definedNames>
    <definedName name="_xlnm._FilterDatabase" localSheetId="2" hidden="1">Hoja3!$A$1:$H$132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2" i="3"/>
  <c r="D71" i="3" l="1"/>
  <c r="C71" i="3" s="1"/>
  <c r="D95" i="3"/>
  <c r="C95" i="3" s="1"/>
  <c r="D90" i="3"/>
  <c r="C90" i="3" s="1"/>
  <c r="D91" i="3"/>
  <c r="C91" i="3" s="1"/>
  <c r="D67" i="3"/>
  <c r="C67" i="3" s="1"/>
  <c r="D46" i="3"/>
  <c r="C46" i="3" s="1"/>
  <c r="G101" i="3"/>
  <c r="H101" i="3"/>
  <c r="G102" i="3"/>
  <c r="H102" i="3"/>
  <c r="G103" i="3"/>
  <c r="H103" i="3"/>
  <c r="G104" i="3"/>
  <c r="H104" i="3"/>
  <c r="G105" i="3"/>
  <c r="H105" i="3"/>
  <c r="G106" i="3"/>
  <c r="H106" i="3"/>
  <c r="G107" i="3"/>
  <c r="H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E101" i="3"/>
  <c r="F101" i="3"/>
  <c r="E102" i="3"/>
  <c r="F102" i="3"/>
  <c r="E103" i="3"/>
  <c r="F103" i="3"/>
  <c r="E104" i="3"/>
  <c r="F104" i="3"/>
  <c r="E105" i="3"/>
  <c r="F105" i="3"/>
  <c r="E106" i="3"/>
  <c r="F106" i="3"/>
  <c r="E107" i="3"/>
  <c r="F107" i="3"/>
  <c r="E108" i="3"/>
  <c r="F108" i="3"/>
  <c r="E109" i="3"/>
  <c r="F109" i="3"/>
  <c r="E110" i="3"/>
  <c r="F110" i="3"/>
  <c r="E111" i="3"/>
  <c r="F111" i="3"/>
  <c r="E112" i="3"/>
  <c r="F112" i="3"/>
  <c r="E113" i="3"/>
  <c r="F113" i="3"/>
  <c r="E114" i="3"/>
  <c r="F114" i="3"/>
  <c r="E115" i="3"/>
  <c r="F115" i="3"/>
  <c r="E116" i="3"/>
  <c r="F116" i="3"/>
  <c r="E117" i="3"/>
  <c r="F117" i="3"/>
  <c r="E118" i="3"/>
  <c r="F118" i="3"/>
  <c r="E119" i="3"/>
  <c r="F119" i="3"/>
  <c r="E120" i="3"/>
  <c r="F120" i="3"/>
  <c r="E121" i="3"/>
  <c r="F121" i="3"/>
  <c r="E122" i="3"/>
  <c r="F122" i="3"/>
  <c r="E123" i="3"/>
  <c r="F123" i="3"/>
  <c r="E124" i="3"/>
  <c r="F124" i="3"/>
  <c r="E125" i="3"/>
  <c r="F125" i="3"/>
  <c r="E126" i="3"/>
  <c r="F126" i="3"/>
  <c r="E127" i="3"/>
  <c r="F127" i="3"/>
  <c r="E128" i="3"/>
  <c r="F128" i="3"/>
  <c r="E129" i="3"/>
  <c r="F129" i="3"/>
  <c r="E130" i="3"/>
  <c r="F130" i="3"/>
  <c r="E131" i="3"/>
  <c r="F131" i="3"/>
  <c r="E132" i="3"/>
  <c r="F132" i="3"/>
  <c r="D101" i="3"/>
  <c r="C101" i="3" s="1"/>
  <c r="D102" i="3"/>
  <c r="C102" i="3" s="1"/>
  <c r="D103" i="3"/>
  <c r="C103" i="3" s="1"/>
  <c r="D104" i="3"/>
  <c r="C104" i="3" s="1"/>
  <c r="D105" i="3"/>
  <c r="C105" i="3" s="1"/>
  <c r="D106" i="3"/>
  <c r="C106" i="3" s="1"/>
  <c r="D107" i="3"/>
  <c r="C107" i="3" s="1"/>
  <c r="D108" i="3"/>
  <c r="C108" i="3" s="1"/>
  <c r="D109" i="3"/>
  <c r="C109" i="3" s="1"/>
  <c r="D110" i="3"/>
  <c r="C110" i="3" s="1"/>
  <c r="D111" i="3"/>
  <c r="C111" i="3" s="1"/>
  <c r="D112" i="3"/>
  <c r="C112" i="3" s="1"/>
  <c r="D113" i="3"/>
  <c r="C113" i="3" s="1"/>
  <c r="D114" i="3"/>
  <c r="C114" i="3" s="1"/>
  <c r="D115" i="3"/>
  <c r="C115" i="3" s="1"/>
  <c r="D116" i="3"/>
  <c r="C116" i="3" s="1"/>
  <c r="D117" i="3"/>
  <c r="C117" i="3" s="1"/>
  <c r="D118" i="3"/>
  <c r="C118" i="3" s="1"/>
  <c r="D119" i="3"/>
  <c r="C119" i="3" s="1"/>
  <c r="D120" i="3"/>
  <c r="C120" i="3" s="1"/>
  <c r="D121" i="3"/>
  <c r="C121" i="3" s="1"/>
  <c r="D122" i="3"/>
  <c r="C122" i="3" s="1"/>
  <c r="D123" i="3"/>
  <c r="C123" i="3" s="1"/>
  <c r="D124" i="3"/>
  <c r="C124" i="3" s="1"/>
  <c r="D125" i="3"/>
  <c r="C125" i="3" s="1"/>
  <c r="D126" i="3"/>
  <c r="C126" i="3" s="1"/>
  <c r="D127" i="3"/>
  <c r="C127" i="3" s="1"/>
  <c r="D128" i="3"/>
  <c r="C128" i="3" s="1"/>
  <c r="D129" i="3"/>
  <c r="C129" i="3" s="1"/>
  <c r="D130" i="3"/>
  <c r="C130" i="3" s="1"/>
  <c r="D131" i="3"/>
  <c r="C131" i="3" s="1"/>
  <c r="D132" i="3"/>
  <c r="C132" i="3" s="1"/>
  <c r="A125" i="3"/>
  <c r="A126" i="3"/>
  <c r="A127" i="3"/>
  <c r="A128" i="3"/>
  <c r="A129" i="3"/>
  <c r="A130" i="3"/>
  <c r="A131" i="3"/>
  <c r="A132" i="3"/>
  <c r="A102" i="3"/>
  <c r="A103" i="3"/>
  <c r="A104" i="3"/>
  <c r="A105" i="3"/>
  <c r="A106" i="3"/>
  <c r="A107" i="3"/>
  <c r="A108" i="3"/>
  <c r="A109" i="3"/>
  <c r="A110" i="3"/>
  <c r="A111" i="3"/>
  <c r="A112" i="3"/>
  <c r="A113" i="3"/>
  <c r="A114" i="3"/>
  <c r="A115" i="3"/>
  <c r="A116" i="3"/>
  <c r="A117" i="3"/>
  <c r="A118" i="3"/>
  <c r="A119" i="3"/>
  <c r="A120" i="3"/>
  <c r="A121" i="3"/>
  <c r="A122" i="3"/>
  <c r="A123" i="3"/>
  <c r="A124" i="3"/>
  <c r="A101"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2" i="3"/>
  <c r="D3" i="3"/>
  <c r="C3" i="3" s="1"/>
  <c r="D4" i="3"/>
  <c r="C4" i="3" s="1"/>
  <c r="D5" i="3"/>
  <c r="C5" i="3" s="1"/>
  <c r="D6" i="3"/>
  <c r="C6" i="3" s="1"/>
  <c r="D7" i="3"/>
  <c r="C7" i="3" s="1"/>
  <c r="D8" i="3"/>
  <c r="C8" i="3" s="1"/>
  <c r="D9" i="3"/>
  <c r="C9" i="3" s="1"/>
  <c r="D10" i="3"/>
  <c r="C10" i="3" s="1"/>
  <c r="D11" i="3"/>
  <c r="C11" i="3" s="1"/>
  <c r="D12" i="3"/>
  <c r="C12" i="3" s="1"/>
  <c r="D13" i="3"/>
  <c r="C13" i="3" s="1"/>
  <c r="D14" i="3"/>
  <c r="C14" i="3" s="1"/>
  <c r="D15" i="3"/>
  <c r="C15" i="3" s="1"/>
  <c r="D16" i="3"/>
  <c r="C16" i="3" s="1"/>
  <c r="D17" i="3"/>
  <c r="C17" i="3" s="1"/>
  <c r="D18" i="3"/>
  <c r="C18" i="3" s="1"/>
  <c r="D19" i="3"/>
  <c r="C19" i="3" s="1"/>
  <c r="D20" i="3"/>
  <c r="C20" i="3" s="1"/>
  <c r="D21" i="3"/>
  <c r="C21" i="3" s="1"/>
  <c r="D22" i="3"/>
  <c r="C22" i="3" s="1"/>
  <c r="D23" i="3"/>
  <c r="C23" i="3" s="1"/>
  <c r="D24" i="3"/>
  <c r="C24" i="3" s="1"/>
  <c r="D25" i="3"/>
  <c r="C25" i="3" s="1"/>
  <c r="D26" i="3"/>
  <c r="C26" i="3" s="1"/>
  <c r="D27" i="3"/>
  <c r="C27" i="3" s="1"/>
  <c r="D28" i="3"/>
  <c r="C28" i="3" s="1"/>
  <c r="D29" i="3"/>
  <c r="C29" i="3" s="1"/>
  <c r="D30" i="3"/>
  <c r="C30" i="3" s="1"/>
  <c r="D31" i="3"/>
  <c r="C31" i="3" s="1"/>
  <c r="D32" i="3"/>
  <c r="C32" i="3" s="1"/>
  <c r="D33" i="3"/>
  <c r="C33" i="3" s="1"/>
  <c r="D34" i="3"/>
  <c r="C34" i="3" s="1"/>
  <c r="D35" i="3"/>
  <c r="C35" i="3" s="1"/>
  <c r="D36" i="3"/>
  <c r="C36" i="3" s="1"/>
  <c r="D37" i="3"/>
  <c r="C37" i="3" s="1"/>
  <c r="D38" i="3"/>
  <c r="C38" i="3" s="1"/>
  <c r="D39" i="3"/>
  <c r="C39" i="3" s="1"/>
  <c r="D40" i="3"/>
  <c r="C40" i="3" s="1"/>
  <c r="D41" i="3"/>
  <c r="C41" i="3" s="1"/>
  <c r="D42" i="3"/>
  <c r="C42" i="3" s="1"/>
  <c r="D43" i="3"/>
  <c r="C43" i="3" s="1"/>
  <c r="D44" i="3"/>
  <c r="C44" i="3" s="1"/>
  <c r="D45" i="3"/>
  <c r="C45" i="3" s="1"/>
  <c r="D47" i="3"/>
  <c r="C47" i="3" s="1"/>
  <c r="D48" i="3"/>
  <c r="C48" i="3" s="1"/>
  <c r="D49" i="3"/>
  <c r="C49" i="3" s="1"/>
  <c r="D50" i="3"/>
  <c r="C50" i="3" s="1"/>
  <c r="D51" i="3"/>
  <c r="C51" i="3" s="1"/>
  <c r="D52" i="3"/>
  <c r="C52" i="3" s="1"/>
  <c r="D53" i="3"/>
  <c r="C53" i="3" s="1"/>
  <c r="D54" i="3"/>
  <c r="C54" i="3" s="1"/>
  <c r="D55" i="3"/>
  <c r="C55" i="3" s="1"/>
  <c r="D56" i="3"/>
  <c r="C56" i="3" s="1"/>
  <c r="D57" i="3"/>
  <c r="C57" i="3" s="1"/>
  <c r="D58" i="3"/>
  <c r="C58" i="3" s="1"/>
  <c r="D59" i="3"/>
  <c r="C59" i="3" s="1"/>
  <c r="D60" i="3"/>
  <c r="C60" i="3" s="1"/>
  <c r="D61" i="3"/>
  <c r="C61" i="3" s="1"/>
  <c r="D62" i="3"/>
  <c r="C62" i="3" s="1"/>
  <c r="D63" i="3"/>
  <c r="C63" i="3" s="1"/>
  <c r="D64" i="3"/>
  <c r="C64" i="3" s="1"/>
  <c r="D65" i="3"/>
  <c r="C65" i="3" s="1"/>
  <c r="D66" i="3"/>
  <c r="C66" i="3" s="1"/>
  <c r="D68" i="3"/>
  <c r="C68" i="3" s="1"/>
  <c r="D69" i="3"/>
  <c r="C69" i="3" s="1"/>
  <c r="D70" i="3"/>
  <c r="C70" i="3" s="1"/>
  <c r="D72" i="3"/>
  <c r="C72" i="3" s="1"/>
  <c r="D73" i="3"/>
  <c r="C73" i="3" s="1"/>
  <c r="D74" i="3"/>
  <c r="C74" i="3" s="1"/>
  <c r="D75" i="3"/>
  <c r="C75" i="3" s="1"/>
  <c r="D76" i="3"/>
  <c r="C76" i="3" s="1"/>
  <c r="D77" i="3"/>
  <c r="C77" i="3" s="1"/>
  <c r="D78" i="3"/>
  <c r="C78" i="3" s="1"/>
  <c r="D79" i="3"/>
  <c r="C79" i="3" s="1"/>
  <c r="D80" i="3"/>
  <c r="C80" i="3" s="1"/>
  <c r="D81" i="3"/>
  <c r="C81" i="3" s="1"/>
  <c r="D82" i="3"/>
  <c r="C82" i="3" s="1"/>
  <c r="D83" i="3"/>
  <c r="C83" i="3" s="1"/>
  <c r="D84" i="3"/>
  <c r="C84" i="3" s="1"/>
  <c r="D85" i="3"/>
  <c r="C85" i="3" s="1"/>
  <c r="D86" i="3"/>
  <c r="C86" i="3" s="1"/>
  <c r="D87" i="3"/>
  <c r="C87" i="3" s="1"/>
  <c r="D88" i="3"/>
  <c r="C88" i="3" s="1"/>
  <c r="D89" i="3"/>
  <c r="C89" i="3" s="1"/>
  <c r="D92" i="3"/>
  <c r="C92" i="3" s="1"/>
  <c r="D93" i="3"/>
  <c r="C93" i="3" s="1"/>
  <c r="D94" i="3"/>
  <c r="C94" i="3" s="1"/>
  <c r="D96" i="3"/>
  <c r="C96" i="3" s="1"/>
  <c r="D97" i="3"/>
  <c r="C97" i="3" s="1"/>
  <c r="D98" i="3"/>
  <c r="C98" i="3" s="1"/>
  <c r="D99" i="3"/>
  <c r="C99" i="3" s="1"/>
  <c r="D100" i="3"/>
  <c r="C100" i="3" s="1"/>
  <c r="D2" i="3"/>
  <c r="C2" i="3" s="1"/>
</calcChain>
</file>

<file path=xl/sharedStrings.xml><?xml version="1.0" encoding="utf-8"?>
<sst xmlns="http://schemas.openxmlformats.org/spreadsheetml/2006/main" count="1553" uniqueCount="407">
  <si>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</si>
  <si>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</si>
  <si>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</si>
  <si>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</si>
  <si>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</si>
  <si>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</si>
  <si>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</si>
  <si>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</si>
  <si>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</si>
  <si>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</si>
  <si>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</si>
  <si>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</si>
  <si>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</si>
  <si>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</si>
  <si>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</si>
  <si>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</si>
  <si>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</si>
  <si>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</si>
  <si>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</si>
  <si>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</si>
  <si>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</si>
  <si>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</si>
  <si>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</si>
  <si>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</si>
  <si>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</si>
  <si>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</si>
  <si>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</si>
  <si>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</si>
  <si>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</si>
  <si>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</si>
  <si>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</si>
  <si>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</si>
  <si>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</si>
  <si>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</si>
  <si>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</si>
  <si>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</si>
  <si>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</si>
  <si>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</si>
  <si>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</si>
  <si>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</si>
  <si>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</si>
  <si>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</si>
  <si>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</si>
  <si>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</si>
  <si>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</si>
  <si>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</si>
  <si>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</si>
  <si>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</si>
  <si>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</si>
  <si>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</si>
  <si>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</si>
  <si>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</si>
  <si>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</si>
  <si>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</si>
  <si>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</si>
  <si>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</si>
  <si>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</si>
  <si>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</si>
  <si>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</si>
  <si>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</si>
  <si>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</si>
  <si>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</si>
  <si>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</si>
  <si>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</si>
  <si>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</si>
  <si>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</si>
  <si>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</si>
  <si>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</si>
  <si>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203023</t>
  </si>
  <si>
    <t>Gerencia de Diversidades Sexuales e Identidades de Género</t>
  </si>
  <si>
    <t xml:space="preserve">Patricia llano obando </t>
  </si>
  <si>
    <t xml:space="preserve">Gerenta </t>
  </si>
  <si>
    <t>10-LA CANDELARIA</t>
  </si>
  <si>
    <t>Acciones de empleabilidad para la población lgbtiq</t>
  </si>
  <si>
    <t xml:space="preserve">42 personas se articulan a través de la escuela para la inclusión en la formación de cursos de capacitación ( ingles) y acceso a vacantes para empleabilidad.  </t>
  </si>
  <si>
    <t>06-DOCE DE OCTUBRE</t>
  </si>
  <si>
    <t>Articulación con la fundación RASA en el acompañamiento a población VIH</t>
  </si>
  <si>
    <t xml:space="preserve">Se implementan acciones de acompañamiento a personas VIH positivos y a la corporación en el trabajo que ejercen. </t>
  </si>
  <si>
    <t>90-SANTA ELENA</t>
  </si>
  <si>
    <t>Articulación con una de las emisoras del corregimiento en el diseño e implementacion del programa radial  en los tacones del otre</t>
  </si>
  <si>
    <t xml:space="preserve">impactar a la poblaciòn oyente en temas de diversidad. </t>
  </si>
  <si>
    <t>14-EL POBLADO</t>
  </si>
  <si>
    <t xml:space="preserve">La articulación que se está generando entre diferentes organizaciones para impactar la zona del Poblado con presencia de mujeres trans en ejercicio de prostitución. </t>
  </si>
  <si>
    <t xml:space="preserve">Ofertar servicios de la administración municipal. </t>
  </si>
  <si>
    <t>203662</t>
  </si>
  <si>
    <t>Departamento Administrativo de Planeación</t>
  </si>
  <si>
    <t>Sergio Andrés López Muñoz</t>
  </si>
  <si>
    <t>Director de Departamento Administrativo</t>
  </si>
  <si>
    <t>01-POPULAR</t>
  </si>
  <si>
    <t>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(Aplica a todo el territorio)</t>
  </si>
  <si>
    <t>N/A</t>
  </si>
  <si>
    <t xml:space="preserve"> Existe documento de Reglamentación dela PPPMAEP consolidado y en permanente ajuste a partir de las alertas de las diferentes Dependencias, para ser entregado el día martes. (Aplica a todo el territorio)</t>
  </si>
  <si>
    <t>Sensibilización de continuidad del proceso de gestión de la UAU 4 del PP Asomadera al Subsecretario de Gestión de Bienes sin que el Municipio venda el lote. (Aplica a todo el territorio)</t>
  </si>
  <si>
    <t>Existen documentos previos precontractuales para el proceso de contratación de los 1.000 millones asignados. (Aplica a todo el territorio)</t>
  </si>
  <si>
    <t>203770</t>
  </si>
  <si>
    <t>Secretaría de las Mujeres</t>
  </si>
  <si>
    <t>Juliana Martínez Londoño</t>
  </si>
  <si>
    <t>Secretaria de las Mujeres</t>
  </si>
  <si>
    <t xml:space="preserve">De 117 mujeres que fueron caracterizadas en la Escuela empresarial de Educación-Sede Boston Comuna 10, 35 recibieron medidas afirmativas para promover su permanencia en el sistema educativo. </t>
  </si>
  <si>
    <t>117 mujeres fueron caracterizadas en la Escuela empresarial de Educación-Sede Boston
35 recibieron acciones afirmativas</t>
  </si>
  <si>
    <t>07-ROBLEDO</t>
  </si>
  <si>
    <t>Se está brindando asistencia técnica a 17 mujeres integrantes del colectivo de Comuna 7, que reconocen la importancia de conocer cómo ha afectado la pandemia la situación de las mujeres de su comuna, y por está razón, con el acompañamiento del equipo de Participación social y política están articulando la propuesta de realizar una investigación sobre la situación de las mujeres del territorio en la pandemia.</t>
  </si>
  <si>
    <t>Asistencia técnica a 17 mujeres integrantes del colectivo de mujeres de esa comuna.</t>
  </si>
  <si>
    <t>203830</t>
  </si>
  <si>
    <t>Secretaría de Desarrollo Económico</t>
  </si>
  <si>
    <t>Alejandro Arias García</t>
  </si>
  <si>
    <t>Secretario de Despacho</t>
  </si>
  <si>
    <t>13-SAN JAVIER</t>
  </si>
  <si>
    <t>Se continua en la logística del primer desfile de Moda al barrio en la comuna 13 de la ciudad, donde se lanzará el programa que lidera la gestora social y que pretende impactar los talleres de confección de los barrios y darle visibilidad a esta moda. El evento se realizara el Jueves 29 de julio a las 7 am en la escaleras eléctricas de la comuna 13. Estará la Gestora Social, el Alcalde y parte del Gabinete de la alcaldía, y contará con presencia de prensa  de la Ciudad.</t>
  </si>
  <si>
    <t>Sin cifras</t>
  </si>
  <si>
    <t>04-ARANJUEZ</t>
  </si>
  <si>
    <t>Se participara en la  feria de servicios mesa 4 de Aranjuez con las diferentes secretarias de la comuna donde  participará la Oficina Pública de Empleo con el registro/o actualización de hojas de vida en el Centro cultural Moravia, el día 29 de julio 2021</t>
  </si>
  <si>
    <t>11-LAURELES</t>
  </si>
  <si>
    <t>Acompañamiento  por parte de la Subsecretaría de Turismo, en la elección de duplas del sector turismo al Consejo Comunal y Corregimental de Planeación CCCP  para las Comunas 11 y 8</t>
  </si>
  <si>
    <t>08-VILLA HERMOSA</t>
  </si>
  <si>
    <t>La Subsecretaría de Turismo estará acompañando los recorridos de reconocimiento de la mesa de turismo de la Comuna 8.</t>
  </si>
  <si>
    <t>sin cifras</t>
  </si>
  <si>
    <t>05-CASTILLA</t>
  </si>
  <si>
    <t>La Subsecretaría de Turismo brindará apoyo técnico  a la comunidad en el diseño del guion que se construye para el recorrido turístico en la Comuna 5</t>
  </si>
  <si>
    <t>203831</t>
  </si>
  <si>
    <t>Secretaría de Gestión y Control Territorial</t>
  </si>
  <si>
    <t>Carlos Mario Montoya Serna</t>
  </si>
  <si>
    <t xml:space="preserve">Proceso de Remoción: Permiten la recuperación de espacio público para la ciudadanía, ejerciendo el control territorial. </t>
  </si>
  <si>
    <t>125 Metros cuadrados de espacio público recuperados mediante 3 procesos de remoción.</t>
  </si>
  <si>
    <t>25 Metros cuadrados de espacio público recuperados mediante 1 procesos de remoción.</t>
  </si>
  <si>
    <t>105 Metros cuadrados de espacio público recuperados mediante 2 procesos de remoción.</t>
  </si>
  <si>
    <t>15 Metros cuadrados de espacio público recuperados mediante 1 proceso de remoción.</t>
  </si>
  <si>
    <t>09-BUENOS AIRES</t>
  </si>
  <si>
    <t>198 Metros cuadrados de espacio público recuperados mediante 5 procesos de remoción.</t>
  </si>
  <si>
    <t>80 Metros cuadrados de espacio público recuperados mediante 1 proceso de remoción.</t>
  </si>
  <si>
    <t>60-SAN CRISTOBAL</t>
  </si>
  <si>
    <t>560 Metros cuadrados de espacio público recuperados mediante 8 procesos de remoción.</t>
  </si>
  <si>
    <t>299 Metros cuadrados de espacio público recuperados mediante 4 procesos de remoción.</t>
  </si>
  <si>
    <t>203863</t>
  </si>
  <si>
    <t>Secretaría de Medio Ambiente</t>
  </si>
  <si>
    <t>Juliana Colorado Jaramillo</t>
  </si>
  <si>
    <t>Secretaria de Despacho</t>
  </si>
  <si>
    <t>03-MANRIQUE</t>
  </si>
  <si>
    <t>Intervención Integral Punto Crítico, Transformación Integral del lugar Intervenido</t>
  </si>
  <si>
    <t>Recolección de residuos ordinarios: 15 m3
RCD: 7 m3
Voluminosos : 8 m3
Siembra plantas : 1463 unidades
Jardineras : 230 m 
Pintura de bolardos y mobiliario urbano : 30 unidades 
Barrido profundo : 180 m
Pintura pasamanos : 43 m
Pintura de muros vandalizados : 6 m2
Limpieza de sumideros : 70 unidades
Limpieza zonas verdes : 250m2
Inversión aproximada : 80 millones de pesos</t>
  </si>
  <si>
    <t>Intervención Puntual, Embellecimiento y recuperación integral parque Los Deseos</t>
  </si>
  <si>
    <t>Lavado zonas duras : 11500 m2
Retiro de publicidad prohibida : 35 postes
Pintura y limpieza de mobiliario urbano: 35 módulos
Pintura muros vandalizados : 88 m2</t>
  </si>
  <si>
    <t>Intervención Puntual Gerencia Centro, Embellecimiento lugar</t>
  </si>
  <si>
    <t>Indicadores :Lavado zonas duras : 600m2
Retiro de publicidad prohibida y pintura  : 45 postes
Pintura y limpieza de mobiliario urbano: 6 módulos
Pintura pasamanos  :  10 m
Recolección de residuos : Rcd 3m3</t>
  </si>
  <si>
    <t>Intervención Integral Parque Lleras, Embellecimiento del lugar en marco Feria de Flores</t>
  </si>
  <si>
    <t>Lavado zonas duras : 3090 m2
Sensibilización buenas practicas ambientales  : 30 personas
Retiro de publicidad prohibida : 100 postes 
Mantenimiento jardinería :2950m2
Pintura de muros vandalizados: 15 m2
Pintura y limpieza de mobiliario urbano: 65 módulos
Recolección de residuos ordinarios: 5 m3
Limpieza de sumideros : 90 unidades</t>
  </si>
  <si>
    <t>16-BELEN</t>
  </si>
  <si>
    <t>Intervención Puntual, Embellecimiento  en marco de inauguración Teatro abierto Carlos V.</t>
  </si>
  <si>
    <t>Lavado profundo y barrido 4700 m2</t>
  </si>
  <si>
    <t>Realización de actividades sociales (Talleres, apropiación, recorridos, rutas, encuentemonos, semilleros y cine foro), con las comunidades aledañas al Cerro el Volador.</t>
  </si>
  <si>
    <t>37 personas.</t>
  </si>
  <si>
    <t>Realización de actividades sociales (Talleres, apropiación, recorridos, rutas, encuentemonos, semilleros y cine foro), con las comunidades aledañas al Cerro Pan de Azúcar.</t>
  </si>
  <si>
    <t>94 personas.</t>
  </si>
  <si>
    <t>Realización de actividades sociales (Talleres, apropiación, recorridos, rutas, encuentemonos, semilleros y cine foro), con las comunidades aledañas al Cerro la Asomadera.</t>
  </si>
  <si>
    <t>20 personas.</t>
  </si>
  <si>
    <t>Socialización a comunidad sector Guanteros, Siembras Compensación Anticipada de 300 arboles para dar cumplimiento a requerimiento de compensación anticipada solicitada por ANLA en el Permiso de Aprovechamiento Forestal para el proyecto Picacha-Pachamama.</t>
  </si>
  <si>
    <t>Realización de actividades sociales (Talleres, apropiación, recorridos, rutas, encuentemonos, semilleros y cine foro), con las comunidades aledañas al Cerro Nutibara.</t>
  </si>
  <si>
    <t>18 personas.</t>
  </si>
  <si>
    <t>Realización de actividades sociales (Talleres, apropiación, recorridos, rutas, encuentemonos, semilleros y cine foro), con las comunidades aledañas al Cerro el Picacho.</t>
  </si>
  <si>
    <t>6 personas</t>
  </si>
  <si>
    <t>70-ALTAVISTA</t>
  </si>
  <si>
    <t>Realización de actividades sociales (Talleres, apropiación, recorridos, rutas, encuentemonos, semilleros y cine foro), con las comunidades aledañas al Cerro de las tres cruces.</t>
  </si>
  <si>
    <t>70 personas.</t>
  </si>
  <si>
    <t xml:space="preserve">Se asistió a reunión con 17 líderes comunitarios para elaborar necesidades en materia de educación y sensibilización animal, y presentar oferta institucional en el área y delinear actividades a implementar.                 </t>
  </si>
  <si>
    <t>17 PERSONAS</t>
  </si>
  <si>
    <t>Se asistió al primer encuentro sectorial/poblacional en Comuna 3, donde se socializó los programas de la Subsecretaría de Protección y Bienestar Animal y se presentó propuesta de criterios a ser considerados por los asistentes. La reunión tuvo como resultado la elección de una dupla para elección.</t>
  </si>
  <si>
    <t>23 ciudadanos</t>
  </si>
  <si>
    <t>Socialización comunidad sobre cuidado responsable de animales de compañía.</t>
  </si>
  <si>
    <t>15 PERSONAS</t>
  </si>
  <si>
    <t xml:space="preserve">visita técnica a 14 locales de la Plaza Minorista con equipo de Protección y Bienestar Animal conformado por veterinario, Bióloga y Profesional en el área social.                              </t>
  </si>
  <si>
    <t>25 PERSONAS</t>
  </si>
  <si>
    <t>50-PALMITAS</t>
  </si>
  <si>
    <t>se asistió a socialización presencial de fichas de presupuesto tema Animal. en comuna 50</t>
  </si>
  <si>
    <t>Reunión con quorum decisorio.</t>
  </si>
  <si>
    <t>203880</t>
  </si>
  <si>
    <t>Secretaría General</t>
  </si>
  <si>
    <t xml:space="preserve">Jhonatan Estiven Villada </t>
  </si>
  <si>
    <t xml:space="preserve">Secretario General </t>
  </si>
  <si>
    <t>203905</t>
  </si>
  <si>
    <t>Secretaría de Evaluación y Control</t>
  </si>
  <si>
    <t>Juan David Calle Tobón</t>
  </si>
  <si>
    <t>-</t>
  </si>
  <si>
    <t>203928</t>
  </si>
  <si>
    <t>Secretaría de Seguridad y Convivencia</t>
  </si>
  <si>
    <t>José Gerardo Acevedo Ossa</t>
  </si>
  <si>
    <t>Secretario de Seguridad y Convivencia</t>
  </si>
  <si>
    <t>-	Se hace intervención en una chiquiteka que viene azotando la Comuna, dando un resultado positivo, se encuentran aproximadamente 20 menores de edad pero no se pudieron retener por no contar con Policía de Infancia y Adolescencia, se individualiza a la persona encargada y se decomisa una granizadora, se iniciará proceso por inspección para hacerle seguimiento a ese tipo de actividad.</t>
  </si>
  <si>
    <t>02-SANTA CRUZ</t>
  </si>
  <si>
    <t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t>
  </si>
  <si>
    <t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Participaron 15 personas. </t>
  </si>
  <si>
    <t xml:space="preserve">-	Inscripción de candidatos a los encuentros sectoriales y/o poblacionales para las Elecciones del Consejo Comunal y Corregimental de Planeación 2021, por el “Sector Barrismo”
-	Se realiza actividad para fomentar buenas prácticas de seguridad en el sector comercial del Raizal, se intervinieron 40 locales comerciales.
-	Intervención interinstitucional y puestos de control
</t>
  </si>
  <si>
    <t xml:space="preserve">-	Articulación con la Mesa Interinstitucional a través de su coordinador Sergio Herrera para hacer presencia en El Parque de los Deseos.
-	Aprobación de los proyectos  de Convivencia PP 2.022 por el Consejo Comunal y Corregimental, para ser priorizado por la comunidad.
-	Plan prevención extorsión y puestos de control
</t>
  </si>
  <si>
    <t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 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y construye legal.
</t>
  </si>
  <si>
    <t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se logró impactar 22 personas.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construye legal; a través de los anteriores servicios se logra impactar 300 personas. 
</t>
  </si>
  <si>
    <t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realizó reunión con comandante encargado del CAI El Progreso para conocer y coordinar las problemáticas de algunos sectores.
-	En el sector los Piques del Doce de Octubre se evidencia tala de árboles masiva y se garantiza vigilancia constante para identificar el origen y las personas.
-	Se realiza recorrido con el capitán Diego García asignado a la estación del Doce de Octubre para contextualizar las problemáticas de la comuna y la oferta institucional de la secretaria de seguridad.
-	Articulación y recorrido con los líderes del colegio Alfredo Cock para socialización de actividades preventivas de delitos y comportamientos contrarios con los estudiantes, también se articula con Policía el acompañamiento en el horario de ingreso y salida debido al consumo de estupefacientes alrededor de la institución educativa.
-	Se obtiene información importante por parte de un líder de la comunidad quien suministra direcciones específicas, nombres y otros detalles relacionados a crimen organizado.
</t>
  </si>
  <si>
    <t>-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t>
  </si>
  <si>
    <t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El 22 de julio se desarrolló la jornada de articulación de la zona 2a mediante la socialización del Código Nacional de Seguridad y Convivencia, en el barrio Robledo El Diamante, esta actividad se desarrolla con el objetivo de incentivar la debida disposición de los residuos sólidos ordinarios y especiales en el sector. Se impactaron 60 personas.
-	Se realiza un festival de talentos (Canto, Baile y pintura) con niños y jóvenes de Villa Santafé de Antioquia. Es un sector priorizado en los planes de acción ya que se tiene una alta instrumentalización de ellos por los grupos delictivos.
</t>
  </si>
  <si>
    <t>-	Inscripción de candidatos a Los encuentros sectoriales y/o poblacionales para las Elecciones del Consejo Comunal y Corregimental de Planeación 2021, por el “Sector Barrismo”</t>
  </si>
  <si>
    <t xml:space="preserve">-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	Inscripción de candidatos a Los encuentros sectoriales y/o poblacionales para las Elecciones del Consejo Comunal y Corregimental de Planeación 2021, por el “Sector Barrismo”
-	El día viernes 23 de julio se realizó Consejo de Convivencia Ciudadana en la Unidad Deportiva Miraflores con Policía Nacional, INDER, Secretaría de Seguridad y Convivencia y líderes del sector para abordar esta problemática; donde quedó como compromiso realizar campaña de residuos en articulación con la Unidad de Convivencia. Por su parte, la Policía Nacional aumentó el patrullaje en el sector para evitar consumo en espacios de sano esparcimiento.
-	Intervención tranvía y puestos de control
</t>
  </si>
  <si>
    <t>-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En esta actividad participaron 75 personas.</t>
  </si>
  <si>
    <t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	El 21 de Julio se realizó un encuentro al que asistió Seguridad del Centro Comercial Camino Real y se acordó reunir las otras entidades de los centros comerciales aledaños para la creación de la mesa de seguridad. También se solicita más presencia de uniformados en ciertos sectores de la   Comuna con respuesta positiva por parte de la Policía.
-	Acción integral centro, intervención bayadera y sagrado corazón y estupefacientes.
-	A la fecha se han sensibilizado 13 centros comerciales en cuanto a la regulación de los avisos publicitarios instalados en sus fachadas, se realiza pedagogía frente a cuáles son avisos de identificación y cuáles son comerciales que generan aprovechamiento económico del espacio público, sus dimensiones y sitios permitidos, en compañía de la Agencia App. Tales como: Unicentro, la Central, los Molinos, Monterrey, San Diego, Oviedo, el Tesoro, Almacentro, Camino Real, Diez centro de negocios, Corficolombiana, Ed Colmena, Palms Avenue. Y así mismo a cada uno de ellos se ha realizado visita  de control para verificación de los parámetros técnicos.
</t>
  </si>
  <si>
    <t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Asistieron 25 personas.
</t>
  </si>
  <si>
    <t xml:space="preserve">-	Inscripción de candidatos a Los encuentros sectoriales y/o poblacionales para las Elecciones del Consejo Comunal y Corregimental de Planeación 2021, por el “Sector Barrismo”
-	Medición de ruido para iniciar proceso sancionatorio en el corredor de la 70. 
-	Comando situacional, puesto de control y plan parques en toda la jurisdicción de la comuna.
-	Se realizó capacitación a las mujeres para lograr prevenir la violencia de género. Se realizó en articulación con la Secretaría de Mujeres.
-	Actividad recreativa en el barrio Los Colores, para la recuperación de los espacios del barrio por la comunidad.
-	Presentación de los planes, actividades y controles que se están efectuando en la comuna a los miembros de Asocomunal y líderes representativos de la comuna, para lograr efectuar más articulación y participación por parte de la comunidad y así mitigar la inseguridad en la comuna.
-	Comando situacional, plan parques y desmonte de cambuches
</t>
  </si>
  <si>
    <t>12-LA AMERICA</t>
  </si>
  <si>
    <t xml:space="preserve">-	Se realizó feria de servicios en el sector La Soledad con la participación de la Secretaría de Seguridad y Convivencia, Salud, Inclusión Social, Familia y DDHH y Mujeres.
-	Desmonte de cambuches
</t>
  </si>
  <si>
    <t xml:space="preserve">-	El 22 de Julio de 2021 se llevó a cabo actividad de promoción y prevención sobre las rutas de atención para el restablecimiento de los derechos de niños, niñas y adolescentes en la Institución Educativa Carlos Vieco.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t>
  </si>
  <si>
    <t xml:space="preserve">-	El 22 de Julio de 2021 se llevó a cabo actividad de promoción y prevención sobre las rutas de atención para el restablecimiento de los derechos de niños, niñas y adolescentes en la Institución Educativa Carlos Vieco, lográndose impactar a 150 jóvenes.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Se visitaron un promedio de 28 establecimientos de comercio.
</t>
  </si>
  <si>
    <t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	El día viernes 23 de Julio se realizó en Manila la campaña de autocuidado para evitar hurtos a celulares y pertenencias personales.
-	Desmonte de cambuches, acción integral Lleras e intervención movilidad
-	Se realizaron 185 visitas de control a los establecimientos de comercio regulados con el objetivo de hacer seguimiento al cumplimiento normativo de la instalación de los elementos publicitarios, posterior a esto se notificarán a los establecimientos que no se hayan ajustado a la norma requerimiento de desmonte de los elementos que incumplen.
</t>
  </si>
  <si>
    <t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t>
  </si>
  <si>
    <t>15-GUAYABAL</t>
  </si>
  <si>
    <t xml:space="preserve">-	Aprobación de los proyectos de Convivencia PP 2.022 por el Consejo Comunal y Corregimental, para ser priorizado por la comunidad.
-	Se continúa la intervención enfocada en habitantes de calle en las comunas 15 y 16. Articulados con Inclusión Social, Familia y DDHH  y Emvarias. Se evidencia la disminución de presencia de habitantes de calle en puntos críticos, especialmente en la canalización de la carrera 65.
</t>
  </si>
  <si>
    <t>-	Se logró concretar un plan de acción para llevar toda la oferta institucional al barrio Zafra Sufre, afectado especialmente por la presencia de Grupos Delincuenciales (Violencias, desplazamiento, despojo, extorsión, microtráfico, etc.) y que viene liderando en el territorio la Secretaría de Seguridad en compañía de los líderes del barrio y ONG de la Comuna. El proyecto, concertado con líderes comunitarios, tendrá el nombre de "Zafra, territorio de Vida". El Plan iniciará con las primeras actividades el próximo 1 de agosto, pero el evento de inicio o lanzamiento será un "Concierto por la Vida" que tendrá lugar en la Cancha del Barrio y que espera contar con la presencia de los Secretarios de las distintas dependencias que se han integrado.</t>
  </si>
  <si>
    <t xml:space="preserve">-	Visita a los establecimientos comerciales del corregimiento, verificando que contarán con todos los documentos que exige la ley, además se realiza campaña de prevención de la extorsión. Impacto: 
-	Se participa en la Feria de Servicios Interinstitucional llevada a cabo en la vereda La Sucia. 
-	Se gestiona espacio para los "Escuchaderos" de la Secretaría de Salud.
-	Intervención a piques
</t>
  </si>
  <si>
    <t xml:space="preserve">-	Visita a los establecimientos comerciales del corregimiento, verificando que contarán con todos los documentos que exige la ley, además se realiza campaña de prevención de la extorsión. Impacto: 18 Propietarios y/o administradores.
</t>
  </si>
  <si>
    <t xml:space="preserve">-	Se realiza visitas a los establecimientos comerciales del corregimiento del sector de la calle del comercio "Calle 63", realizando campaña de prevención de la extorsión. Impacto: 30 Propietarios y/o administradores.
-	Se gestiona espacio para los "Escuchaderos" de la Secretaría de Salud
</t>
  </si>
  <si>
    <t>80-SAN ANTONIO DE PRADO</t>
  </si>
  <si>
    <t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	El 21 de julio se recopilan en el taller de competencias ciudadanas realizado en la Granjas, experiencias significativas con habitantes de calle que le apostaron a una segunda oportunidad en su proyecto social de vida.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	Articulación con la Subsecretaría de Derechos Humanos, con el fin de intervenir en el proyecto de PP - Secretaría de Seguridad, para participar en la formación de los jóvenes de la Cívica Juvenil.
-	Articulación con PRECI, con el fin de realizar actividades de PyP, en los Establecimientos Educativos.
-	Reunión con el Rector de 6 Centros Educativos de la ruralidad, con el objetivo de intervenir en las veredas. En esta actividad se articula con los Escuchaderos, se iniciará en las veredas Montañitas y el Salado.
</t>
  </si>
  <si>
    <t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Se impactaron en el lugar 35 personas aproximadamente.
-	El 21 de julio se recopilan en el taller de competencias ciudadanas realizado en la Granjas, experiencias significativas con habitantes de calle que le apostaron a una segunda oportunidad en su proyecto social de vida. Participaron de esta actividad 18 personas.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Participaron de la reunión 14 personas. 
</t>
  </si>
  <si>
    <t xml:space="preserve">-	Miércoles 21 de julio: Reunión pre feria de flores con el subsecretario de cultura.
-	Sábado 24 reunión Asocomunal: información frente de seguridad con líderes.
-	Recorrido territorio Santa Elena con los Subsecretarios de Operativa de Seguridad, Convivencia, Espacio Público, Policía y Movilidad.
-	Comando situacional
</t>
  </si>
  <si>
    <t>203937</t>
  </si>
  <si>
    <t>Secretaría de la Juventud</t>
  </si>
  <si>
    <t>Alejandro Matta Herrera</t>
  </si>
  <si>
    <t>Secretario de la Juventud</t>
  </si>
  <si>
    <t>Acompañamiento a la I.E. Rosalía Suarez en la celebración del día de la Juventud Participación Secretaría de la Juventud en los días de la Juventud de la I.E. Rosalía Suarez. Esta actividad se realizará el día 29 de julio.</t>
  </si>
  <si>
    <t>Se espera contar con la participación de 100 jóvenes.</t>
  </si>
  <si>
    <t>El día 29 de julio estaremos acompañando el conversatorio de paz y reconciliación. Actividad propuesta por UN, RedePaz, Red de Líderes y Personeros.</t>
  </si>
  <si>
    <t>Se espera contar con la participación de 60 jóvenes.</t>
  </si>
  <si>
    <t xml:space="preserve">Inauguración Belén Zafra. Se apoya la planeación y ejecución del acto inaugural que determina una estrategia de expectativas, para la ejecución del Plan de Acción en Belén Zafra.
</t>
  </si>
  <si>
    <t>Se espera contar con la participación de 50 jóvenes.</t>
  </si>
  <si>
    <t>203939</t>
  </si>
  <si>
    <t>Gerencia del Centro</t>
  </si>
  <si>
    <t>Mónica María Pabón Carvajal</t>
  </si>
  <si>
    <t>Gerente</t>
  </si>
  <si>
    <t>Avances en Divulgación de acciones de la Gerencia</t>
  </si>
  <si>
    <t>Las publicaciones alcanzaron estas estadísticas en la última semana Número de Publicaciones: 28 Twitter 11.800 impresiones y 977 interacciones. Instagram 4.700 impresiones y 54 acciones Facebook 1.069 personas alcanzadas y 576 interacciones.</t>
  </si>
  <si>
    <t>Brigada Interinstitucional Centro Consentido</t>
  </si>
  <si>
    <t xml:space="preserve">Brigada CentroConSentido en el Barrio Colón, contamos con lo siguiente.
•	COMPONENTE TÉCNICO -  SOCIAL
•	EMVARIAS: Carro tanque, personal de barrido y Cuadrilla de rocería
•	Policía Ambiental
•	Secretaría de Infraestructura Física: cuadrilla de rocería
•	Ejército nacional: 10 soldados para labores operativa
•	Secretaría del Medio Ambiente: equipo coordinador Comité de Aseo y Ornato
•	Grupo de intervenciones Ambientales: equipo operativo y suministro material fungible.
•	Desde el acompañamiento social. Contamos con más de 10 dependencias de la alcaldía de Medellín, más de 80 funcionarios llevando toda la oferta institucional. Para esta brigada integral beneficiamos 200 personas del sector La Corraleja.
</t>
  </si>
  <si>
    <t>203945</t>
  </si>
  <si>
    <t>Gerencia de Etnias</t>
  </si>
  <si>
    <t xml:space="preserve">Farlin Perea Renteria </t>
  </si>
  <si>
    <t xml:space="preserve">Gerente Étnica </t>
  </si>
  <si>
    <t xml:space="preserve">Atención del caso relacionado con el traslado de familias indígenas de la etnia Embera residentes en albergues con auxilio habitacional. </t>
  </si>
  <si>
    <t xml:space="preserve">En el marco de esta acción se brindó atención y apoyo a cerca de 70 personas pertenecientes a 23 familias de la etnia Embera, gracias a lo cual se logró que se extendiera por 1 mes mas el auxilio habitacional, evitando con esto que estas personas quedaran en situación de calle. </t>
  </si>
  <si>
    <t>204005</t>
  </si>
  <si>
    <t>Secretaría de Educación</t>
  </si>
  <si>
    <t>Alexandra Agudelo Ruiz</t>
  </si>
  <si>
    <t>Secretaria de Educación</t>
  </si>
  <si>
    <t>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t>
  </si>
  <si>
    <t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t>
  </si>
  <si>
    <t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t>
  </si>
  <si>
    <t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t>
  </si>
  <si>
    <t>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t>
  </si>
  <si>
    <t>204013</t>
  </si>
  <si>
    <t>Secretaría de Gestión Humana y Servicio a la Ciudadanía</t>
  </si>
  <si>
    <t>Ana Camila Salazar Palacio</t>
  </si>
  <si>
    <t>204033</t>
  </si>
  <si>
    <t>Buen Comienzo</t>
  </si>
  <si>
    <t>José Wilmar Sánchez D.</t>
  </si>
  <si>
    <t>Director General</t>
  </si>
  <si>
    <t>Implementación  del plan de acompañamiento psicopedagógico para las familias del barrio Santa Cruz - Pequeños Exploradores.</t>
  </si>
  <si>
    <t>Se atendieron 75 familias.</t>
  </si>
  <si>
    <t>204084</t>
  </si>
  <si>
    <t>204110</t>
  </si>
  <si>
    <t>Secretaria de Innovación Digital</t>
  </si>
  <si>
    <t>Juan Sebastían González Flórez</t>
  </si>
  <si>
    <t>Secretario de Innovación</t>
  </si>
  <si>
    <t xml:space="preserve">Servicios de conectividad a Internet mediante Prueba Piloto del servicio White Space, vereda La Frisola
</t>
  </si>
  <si>
    <t xml:space="preserve">1800 habitantes de la vereda serán impactadas por el piloto
</t>
  </si>
  <si>
    <t xml:space="preserve">Se alcanzó un avance del 80% en las actividades de instalación, conexión y configuración de los equipos de red en la Biblioteca San Javier (sitio seleccionado para funcionar como centro de operación de la red); con estas actividades se da inicio a la fase de implementación del piloto a realizar en el barrio el Salado parte alta.
</t>
  </si>
  <si>
    <t>500 hogares beneficiados</t>
  </si>
  <si>
    <t>204113</t>
  </si>
  <si>
    <t>Secretaría de Inclusión, Familia y Derechos Humanos</t>
  </si>
  <si>
    <t xml:space="preserve">SANTIAGO PRECIADO GALLEGO </t>
  </si>
  <si>
    <t>Secretario Encargado</t>
  </si>
  <si>
    <t>Con el objetivo de generar acciones conjuntas en el territorio, el pasado 23 y 24 de julio se participó como unidad en las ferias institucionales realizadas desde la Gerencia del Centro con Centro con Sentido, Isvimed en La Corraleja y en la Feria Interinstitucional de la Comuna 15 Guayabal. Con la presencia del equipo de migrantes y el componente de calle, escuchamos a la comunidad y compartimos la oferta institucional disponible para los diferentes grupos poblacionales.</t>
  </si>
  <si>
    <t xml:space="preserve">LOGRO: participamos en la Feria de Servicios que se realizó en el barrio Santa Cruz, sector La Rosa. Allí se acercó la oferta institucional que tenemos como equipo a la comunidad e hicimos entrega de formatos para postulación al subsidio de Colombia Mayor.
COMUNA: 2
FECHA: 23 de julio
</t>
  </si>
  <si>
    <t xml:space="preserve"> 16 personas</t>
  </si>
  <si>
    <t xml:space="preserve">
LOGRO: protección y restablecimiento de derechos a personas mayores
ACTIVIDAD: traslado desde la vivienda e ingreso a instituciones del modelo larga estancia y Dormitorio Social.
COMUNA: 6, 7 y 10
FECHA: del 21 al 28 de julio
</t>
  </si>
  <si>
    <t>7 personas mayores</t>
  </si>
  <si>
    <t xml:space="preserve">LOGRO 1: Fortalecimiento Unidades Productivas. 
ACTIVIDAD: Se alcanza a dar inicio a la caracterización y plan de actividades para el fortalecimiento de unidades productivas, que son acompañados por la Unidad Familia Medellín para la superación de pobreza extrema. (Iniciativa liderada y articulada desde la gestión territorial CIF).
COMUNA: 60- Corregimiento de San Cristóbal
FECHA: Del 18 al 24 de julio del 2021.
</t>
  </si>
  <si>
    <t xml:space="preserve">43 hogares en proceso de caracterización para fortalecimiento de unidades productivas.
</t>
  </si>
  <si>
    <t xml:space="preserve">LOGRO: Sensibilización de más de 60 mujeres rurales sobre violencias sexuales  del Corregimiento de San Sebastián de Palmitas.
ACTIVIDAD: Taller sobre violencias sexuales
COMUNA: Comuna 50 – Corregimiento San Sebastián de Palmitas
           FECHA: 23 y 25 de julio
</t>
  </si>
  <si>
    <t xml:space="preserve"> 60 asistentes </t>
  </si>
  <si>
    <t xml:space="preserve">LOGRO. Sensibilizar a niños y niñas  y padres de familia en promoción de los  derechos humanos y entornos protectores en la Comuna 11 – Estadio 
ACTIVIDAD: Taller de sensibilización de derechos humanos y entornos protectores con niños y niñas y padres de familia – Comuna 11 
COMUNA: 11 - Estadio
FECHA: 25 de julio
</t>
  </si>
  <si>
    <t>35 asistentes a los talleres</t>
  </si>
  <si>
    <t xml:space="preserve">LOGRO:  Sensibilización en la Ruta Urgente de Búsqueda 
ACTIVIDAD: Socialización de la Ruta Urgente de Búsqueda con grupos juveniles 
COMUNA: 2 Manrique 
</t>
  </si>
  <si>
    <t>35 personas atendidas</t>
  </si>
  <si>
    <t xml:space="preserve">LOGRO: Realización de  acciones preventivas en contra de la trata de personas. 
ACTIVIDAD: Acompañamiento a movilizaciones en las terminales de transporte de la ciudad de Medellín.
COMUNA: 5 Castilla y  15 Guayabal
NUMERO DE PERSONAS ATENDIDAS: indeterminado
</t>
  </si>
  <si>
    <t>204126</t>
  </si>
  <si>
    <t>Gerencia de Corregimientos</t>
  </si>
  <si>
    <t xml:space="preserve">CRISTIAN CAMILO SANCHEZ VASQUEZ </t>
  </si>
  <si>
    <t xml:space="preserve">GERENTE DE CORREGIMIENTOS </t>
  </si>
  <si>
    <t>La atención integral a la comunidad de San Sebastián de Palmitas corregimiento de San Sebastián de Palmitas con la feria de servicios con la oferta: SISBEN, Unidad móvil de a asesoría jurídica de la universidad de Medellín - CEDEZO -oficina pública de empleo -banco de las oportunidades -medio ambiente con asesoría para manejo de residuos sólidos -secretaria de juventud -promotora local de gobierno Medellín me cuida con vacunación y planificación -fundación la luz IPS -fundación lucerito con atención y prevención de víctimas de abuso sexual -biblioteca de palmitas -sapiencia -participación ciudadana -secretaria de seguridad y convivencia –ISVIMED.</t>
  </si>
  <si>
    <t>La atención integral a la comunidad de Santa Elena  se Sapiencia de Mazo, nos acompañaran, buen comienzo Palmitas con la feria de servicios con la oferta: Secretaria de Educación e Inclusión social con cupos para niños desescolarizados, mujeres, familia, asesorías en pensiones, Medellín Me Cuida, la secretaria de salud enviara pruebas para el COVID, estará secretaria de seguridad, ENVARIAS, gestión y control territorial. Espacio público desea sumarse, están pendiente por confirmar su participación.</t>
  </si>
  <si>
    <t xml:space="preserve">Firma del convenio de cooperación internacional con FAO. Se está pasando a la organización del evento protocolario donde va asistir el Alcalde y FAO  </t>
  </si>
  <si>
    <t>204139</t>
  </si>
  <si>
    <t>Secretaría de Cultura Ciudadanía</t>
  </si>
  <si>
    <t>Álvaro Narváez</t>
  </si>
  <si>
    <t>Secretario de despacho</t>
  </si>
  <si>
    <t xml:space="preserve">El jueves 22 de Julio se realizó el acto de apertura del Teatro Carlos Vieco, un espacio que regresa a la ciudadanía para posibilitar el encuentro en torno al arte y la cultura, al mismo tiempo, que aporta nuevos sentidos que propiciarán disímiles maneras de apropiación. </t>
  </si>
  <si>
    <t xml:space="preserve">Con una inversión de  $ 41.620.429 se llevó a cabo el evento de apertura, mediante el cual contribuimos al Plan Joven y de Reactivación Económica de la Medellín Futuro que estamos construyendo juntos. A este teatro podrá regresar la música, el rock, en suma, el arte y la cultura, con los que irá recobrando la vida que tenía antes de sus remodelaciones.
Un espacio para continuar moviendo la cultura en nuevos lugares que conseguirán expandirla. </t>
  </si>
  <si>
    <t>Realización de un taller de apreciación del cine latinoamericano dirigido a vecinos de la Casa de la Cultura El Poblado con el objetivo de acercarlos a esta cinematografía y así generar una cercanía con la programación audiovisual del espacio.</t>
  </si>
  <si>
    <t xml:space="preserve">Este taller fue impartido por el docente e investigador Carlos Pineda en el que participaron 22 personas.
</t>
  </si>
  <si>
    <t>204152</t>
  </si>
  <si>
    <t>Secretaría de Infraestructura Física</t>
  </si>
  <si>
    <t>Natalia Urrego Arias</t>
  </si>
  <si>
    <t xml:space="preserve">“TRONCAL METROPLUS AVENIDA ORIENTAL”: conectividad en la Comuna 10 La Candelaria
</t>
  </si>
  <si>
    <t>x</t>
  </si>
  <si>
    <t>"METROCABLE ZONA NOROCCIDENTAL DE MEDELLÍN (CABLE PICACHO)”: conectividad de las comunas 5 y 6 al transporte masivo metro de Medellín</t>
  </si>
  <si>
    <t>PARQUE BIBLIOTECA ZONA NORORIENTAL. Impacto a nivel social, cultural y educativo en la comuna No.1</t>
  </si>
  <si>
    <t xml:space="preserve">4.	Puente de Boquerón movilidad corregimiento de San Cristóbal </t>
  </si>
  <si>
    <t>204179</t>
  </si>
  <si>
    <t>Secretaría de Movilidad</t>
  </si>
  <si>
    <t>CARLOS MARIO MEJIA MUNERA</t>
  </si>
  <si>
    <t xml:space="preserve">Secretario de Despacho. </t>
  </si>
  <si>
    <t xml:space="preserve"> Presentación proyecto piloto de aumento temporal de capacidad transportadora de taxis eléctricos.
Por segunda vez, la Secretaría cuenta con el 100% en el indicador de oportunidad de las PQRSD del mes de mayo.
Aprobación de doce avales de plantas de empleo para contratos de prestación de servicios
Trámite de publicación en la página web de la alcaldía para recibir observaciones y recomendaciones de proyecto de decreto de pico y placa para taxis.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Se continúa con los Agentes de Tránsito y en articulación con la policía operativos de control a la informalidad e ilegalidad, de los controles realizados se tienen los siguientes resultados en el periodo 1 de Enero  al 25 de Julio  de 2021:   1453 comparendos y 1293 inmovilizaciones.
Se continúa con la realización de intervenciones en los sitios de mayor incidentalidad de la comuna 10, comuna 5 y comuna 11 con las cuales se logró intervenir durante la semana del 19 al 25 de julio un total de 2.793 personas.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Financiación de Corredor de Vegas en Comuna 14 por más de 8.000 millones de pesos por parte del Área Metropolitana del Valle de Aburrá.
Priorización de corredores a contruir por SIF en comunas 11 y comuna 5 y 4  a través de los proyectos Carrera 74 y Puente del Mico respectivamente.
Se dará inicio a las metas en las que se enfocará cada segmento del proyecto de renovación vehicular.
Continuar revisando áreas para la posible construcción de CLT.
Depuración y análisis de bases  de datos de mortalidad 2014 - 2020, para Pesados y Otros (BD Excel y BD geográfica) y  continuidad a la actividad de acuerdo con la actualización y reporte semanal de mortalidad 2021.
Construcción de los diferentes componentes jurídicos del Convenio e identificación de componentes técnicos de CITRA y consolidación del proceso en aspectos formales, modos y canales de comunicación.</t>
  </si>
  <si>
    <t>.</t>
  </si>
  <si>
    <t>204180</t>
  </si>
  <si>
    <t>Secretaría de Salud</t>
  </si>
  <si>
    <t>Jennifer Andree Uribe Montoya</t>
  </si>
  <si>
    <t>Secretaria de Salud</t>
  </si>
  <si>
    <t>Tomas de muestras COVID-19</t>
  </si>
  <si>
    <t>43   muestras</t>
  </si>
  <si>
    <t>Toma de muestras Covid-19</t>
  </si>
  <si>
    <t>21 Muestras</t>
  </si>
  <si>
    <t>109 muestra</t>
  </si>
  <si>
    <t>169 Muestras</t>
  </si>
  <si>
    <t>129 muestras</t>
  </si>
  <si>
    <t xml:space="preserve">143 muestras </t>
  </si>
  <si>
    <t>91 muestras</t>
  </si>
  <si>
    <t>204199</t>
  </si>
  <si>
    <t>Departamento Administrativo de Gestión del Riesgo de Desastres</t>
  </si>
  <si>
    <t xml:space="preserve">Alethia Carolina Arango Gil </t>
  </si>
  <si>
    <t>Directora</t>
  </si>
  <si>
    <t xml:space="preserve">Acompañamiento en las reuniones de la Comisión de la Protección Social, hábitat, Riesgos Tecnológicos.
Seguimiento de las acciones a realizar con la comunidad del Barrio el Pacifico con referente al PAER de lluvias.
</t>
  </si>
  <si>
    <t>Sin datos</t>
  </si>
  <si>
    <t>El sábado 24 de julio se realizó visita de inspección a otras 5 fincas silleteras, en el corregimiento de Santa Elena en el Marco de la feria de las Flores 2021 Comuna 90</t>
  </si>
  <si>
    <t>Sin dato</t>
  </si>
  <si>
    <t xml:space="preserve">Articulación con el Colegio Hector Rogelio en la que se realizaran talleres tanto a docentes como a estudiantes y padres de familia en lo correspondiente a la gestion del riesgo Comuna 50 Pamitas
</t>
  </si>
  <si>
    <t xml:space="preserve">Se realizan diferentes recorridos en articulación con el SIATA y la realizacion de talleres a las comunidades frente  la prevencion del riesgo.  Comuna 80 San Antonio de Prado
</t>
  </si>
  <si>
    <t xml:space="preserve">Avances en el curso de co-gestión del riesgo en el BURNOR,  con las universidades de Edimburgo y Heriot Watt, al igual que el SENA y la mesa de vivienda de la comuna 8, a través del inicio del primer modulo formativo articulando metodologías presencial y virtual. Comuna 8
</t>
  </si>
  <si>
    <t xml:space="preserve">Descentralización de la oferta institucional, a través de la feria de servicios programada para el miércoles 28 de julio a realizarse en la comuna 9 Buenos Aires, en articulación con las demás dependencias de la alcaldía de Medellín.
</t>
  </si>
  <si>
    <t xml:space="preserve">Talleres de Escuela y Entorno seguro a desarrollar con alrededor de 100 estudiantes de la  I.E Jesús María El Rosal de la comuna 5 Castilla. 
</t>
  </si>
  <si>
    <t xml:space="preserve">Intervención y acompañamiento en la inscripción de planchas al CCCP de la comuna, con alrededor de 28 participantes para representar al sector en el escenario mencionado. Comuna 8. 
</t>
  </si>
  <si>
    <t xml:space="preserve">Se realizarán capacitaciones en gestión de riesgo a 150 estudiantes de la IE El Rosal del barrio Castilla, comuna 5 de los grados noveno y decimo, en un proceso formativo que inicia hoy y que cubrirá a 50 estudiantes aproximadamente. Todo esto enmarcado en el componente de "Educación y gestión de riesgo". 
</t>
  </si>
  <si>
    <t>150 estudiantes Capacitados</t>
  </si>
  <si>
    <t>Se continua con capacitaciones en centros infantiles de la comuna 10 generando conocimiento en materia de gestión del riesgo, contando con los aportes de los agentes educativos con el fin que sea mas ameno las experiencias con los centros infantiles. Comuna 10</t>
  </si>
  <si>
    <t xml:space="preserve">Se están llevando a cabo talleres en articulación con secretaria de juventud y secretaria de la mujer sobre riesgo de desastre y riesgos sociales con el fin de complementar los planes de gestión de riesgos escolares. El piloto se esta realizando en el colegio La enseñanza donde se impactaran al rededor de 800 niñas y se replicará en la IE INEM (3.000 estudiantes aprox)  y el colegio Marymount. Comuna 14
</t>
  </si>
  <si>
    <t>Impacto 800 niñas
3000 estudiantes aprox</t>
  </si>
  <si>
    <t xml:space="preserve">Articulación entre Promotora de Gobierno Local y Secretaria de Gestión y Control Territorial de la C13, en función de trabajar conjuntamente en mitigar riesgos en puntos focalizados en los 7 nodos con los cuales cuenta la comuna 13.
</t>
  </si>
  <si>
    <t xml:space="preserve">Desarrollo de talleres educativos en la Institución Educativa Santa Elena a través de los cuales se impactarán más de 80 alumnos de bachillerato. Comuna 90
</t>
  </si>
  <si>
    <t>204213</t>
  </si>
  <si>
    <t>Secretaría de Participación Ciudadana</t>
  </si>
  <si>
    <t>Juan Guillermo Berrío Londoño</t>
  </si>
  <si>
    <t>Secretario de Participación Ciudadana</t>
  </si>
  <si>
    <t>Entrega de 206 kits alimentarios a los asistentes de las escuelas de formación ciudadana.</t>
  </si>
  <si>
    <t>19 encuentros sectoriales para la elección de representantes al CCCP</t>
  </si>
  <si>
    <t>4 encuentros sectoriales para la elección de representantes al CCCP</t>
  </si>
  <si>
    <t>8 encuentros sectoriales para la elección de representantes al CCCP</t>
  </si>
  <si>
    <t>10 encuentros sectoriales para la elección de representantes al CCCP</t>
  </si>
  <si>
    <t>6 encuentros sectoriales para la elección de representantes al CCCP</t>
  </si>
  <si>
    <t>3 encuentros sectoriales para la elección de representantes al CCCP</t>
  </si>
  <si>
    <t>11 encuentros sectoriales para la elección de representantes al CCCP</t>
  </si>
  <si>
    <t>2 encuentros sectoriales para la elección de representantes al CCCP</t>
  </si>
  <si>
    <t>12 encuentros sectoriales para la elección de representantes al CCCP</t>
  </si>
  <si>
    <t>204955</t>
  </si>
  <si>
    <t>Secretaría de Servicios y Suministros</t>
  </si>
  <si>
    <t>Karen Bibiana Delgado Manjarres</t>
  </si>
  <si>
    <t xml:space="preserve">Secretaria de Despacho </t>
  </si>
  <si>
    <t>Socialización del proyecto Protección del recurso hídrico ley 99 de 1993. Secretaría de Medio Ambiente, predios ubicados en el Sector Caño Naranjito, San Antonio de Prado.</t>
  </si>
  <si>
    <t xml:space="preserve">No aplica </t>
  </si>
  <si>
    <t>27/07/2021 9:31:49 p. m.</t>
  </si>
  <si>
    <t>28/07/2021 9:55:17 a. m.</t>
  </si>
  <si>
    <t>28/07/2021 10:27:40 a. m.</t>
  </si>
  <si>
    <t>28/07/2021 10:56:42 a. m.</t>
  </si>
  <si>
    <t>28/07/2021 10:56:58 a. m.</t>
  </si>
  <si>
    <t>28/07/2021 11:16:36 a. m.</t>
  </si>
  <si>
    <t>28/07/2021 11:24:27 a. m.</t>
  </si>
  <si>
    <t>28/07/2021 11:36:54 a. m.</t>
  </si>
  <si>
    <t>28/07/2021 11:49:29 a. m.</t>
  </si>
  <si>
    <t>28/07/2021 12:01:44 p. m.</t>
  </si>
  <si>
    <t>28/07/2021 12:03:15 p. m.</t>
  </si>
  <si>
    <t>28/07/2021 12:13:45 p. m.</t>
  </si>
  <si>
    <t>28/07/2021 1:21:53 p. m.</t>
  </si>
  <si>
    <t>28/07/2021 1:28:14 p. m.</t>
  </si>
  <si>
    <t>28/07/2021 1:42:36 p. m.</t>
  </si>
  <si>
    <t>28/07/2021 2:14:54 p. m.</t>
  </si>
  <si>
    <t>28/07/2021 2:35:59 p. m.</t>
  </si>
  <si>
    <t>28/07/2021 2:37:46 p. m.</t>
  </si>
  <si>
    <t>28/07/2021 3:01:04 p. m.</t>
  </si>
  <si>
    <t>28/07/2021 3:16:00 p. m.</t>
  </si>
  <si>
    <t>28/07/2021 3:32:38 p. m.</t>
  </si>
  <si>
    <t>28/07/2021 4:14:16 p. m.</t>
  </si>
  <si>
    <t>28/07/2021 4:14:55 p. m.</t>
  </si>
  <si>
    <t>28/07/2021 5:27:50 p. m.</t>
  </si>
  <si>
    <t>28/07/2021 6:14:08 p. m.</t>
  </si>
  <si>
    <t>29/07/2021 3:15:40 p. m.</t>
  </si>
  <si>
    <t>Comuna</t>
  </si>
  <si>
    <t>Nombre</t>
  </si>
  <si>
    <t>Fecha</t>
  </si>
  <si>
    <t>Dependencia</t>
  </si>
  <si>
    <t>Logro</t>
  </si>
  <si>
    <t>Cifras</t>
  </si>
  <si>
    <t>Ordenador</t>
  </si>
  <si>
    <t>Cargo</t>
  </si>
  <si>
    <t>Cod_dep</t>
  </si>
  <si>
    <t>cod_comuna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</si>
</sst>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rgb="FF000000"/>
      <name val="Calibri"/>
    </font>
    <font>
      <b/>
      <sz val="11"/>
      <color rgb="FF000000"/>
      <name val="Calibri"/>
      <family val="2"/>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applyFont="1" applyAlignment="1"/>
    <xf numFmtId="0" fontId="0" fillId="0" borderId="1" xfId="0" applyFont="1" applyBorder="1" applyAlignment="1"/>
    <xf numFmtId="22" fontId="0" fillId="0" borderId="1" xfId="0" applyNumberFormat="1" applyFont="1" applyBorder="1"/>
    <xf numFmtId="0" fontId="0" fillId="3" borderId="1" xfId="0" applyFont="1" applyFill="1" applyBorder="1" applyAlignment="1"/>
    <xf numFmtId="22" fontId="0" fillId="3" borderId="1" xfId="0" applyNumberFormat="1" applyFont="1" applyFill="1" applyBorder="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0" fillId="0" borderId="1" xfId="0" applyFont="1" applyFill="1" applyBorder="1" applyAlignment="1"/>
    <xf numFmtId="22" fontId="0" fillId="0" borderId="1" xfId="0" applyNumberFormat="1" applyFont="1" applyFill="1" applyBorder="1"/>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2" fillId="0" borderId="1"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30</xdr:row>
          <xdr:rowOff>177800</xdr:rowOff>
        </xdr:from>
        <xdr:to>
          <xdr:col>5</xdr:col>
          <xdr:colOff>50800</xdr:colOff>
          <xdr:row>34</xdr:row>
          <xdr:rowOff>25400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P100"/>
  <sheetViews>
    <sheetView tabSelected="1" topLeftCell="C1" workbookViewId="0">
      <pane ySplit="1" topLeftCell="A7" activePane="bottomLeft" state="frozen"/>
      <selection pane="bottomLeft" activeCell="P24" sqref="P24"/>
    </sheetView>
  </sheetViews>
  <sheetFormatPr baseColWidth="10" defaultColWidth="14.5" defaultRowHeight="15" customHeight="1" x14ac:dyDescent="0.2"/>
  <cols>
    <col min="1" max="1" width="10.6640625" style="1" customWidth="1"/>
    <col min="2" max="2" width="15.6640625" style="1" bestFit="1"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68" s="5" customFormat="1" ht="32" x14ac:dyDescent="0.2">
      <c r="A1" s="6" t="s">
        <v>0</v>
      </c>
      <c r="B1" s="6" t="s">
        <v>1</v>
      </c>
      <c r="C1" s="6" t="s">
        <v>2</v>
      </c>
      <c r="D1" s="6" t="s">
        <v>3</v>
      </c>
      <c r="E1" s="6" t="s">
        <v>4</v>
      </c>
      <c r="F1" s="6" t="s">
        <v>5</v>
      </c>
      <c r="G1" s="6" t="s">
        <v>6</v>
      </c>
      <c r="H1" s="6"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c r="BP1" s="7" t="s">
        <v>67</v>
      </c>
    </row>
    <row r="2" spans="1:68" x14ac:dyDescent="0.2">
      <c r="A2" s="1" t="s">
        <v>68</v>
      </c>
      <c r="B2" s="2">
        <v>44404.897094907406</v>
      </c>
      <c r="C2" s="1" t="s">
        <v>69</v>
      </c>
      <c r="D2" s="1" t="s">
        <v>70</v>
      </c>
      <c r="E2" s="1" t="s">
        <v>71</v>
      </c>
      <c r="F2" s="1" t="s">
        <v>72</v>
      </c>
      <c r="G2" s="1" t="s">
        <v>73</v>
      </c>
      <c r="H2" s="1" t="s">
        <v>74</v>
      </c>
      <c r="I2" s="1" t="s">
        <v>75</v>
      </c>
      <c r="J2" s="1" t="s">
        <v>76</v>
      </c>
      <c r="K2" s="1" t="s">
        <v>77</v>
      </c>
      <c r="L2" s="1" t="s">
        <v>78</v>
      </c>
      <c r="M2" s="1" t="s">
        <v>79</v>
      </c>
      <c r="N2" s="1" t="s">
        <v>80</v>
      </c>
      <c r="O2" s="1" t="s">
        <v>81</v>
      </c>
      <c r="P2" s="1" t="s">
        <v>82</v>
      </c>
      <c r="Q2" s="1" t="s">
        <v>83</v>
      </c>
    </row>
    <row r="3" spans="1:68" s="3" customFormat="1" x14ac:dyDescent="0.2">
      <c r="A3" s="3" t="s">
        <v>84</v>
      </c>
      <c r="B3" s="4">
        <v>44405.413391203707</v>
      </c>
      <c r="C3" s="3" t="s">
        <v>85</v>
      </c>
      <c r="D3" s="3" t="s">
        <v>86</v>
      </c>
      <c r="E3" s="3" t="s">
        <v>87</v>
      </c>
      <c r="F3" s="3" t="s">
        <v>88</v>
      </c>
      <c r="G3" s="3" t="s">
        <v>89</v>
      </c>
      <c r="H3" s="3" t="s">
        <v>90</v>
      </c>
      <c r="I3" s="3" t="s">
        <v>88</v>
      </c>
      <c r="J3" s="3" t="s">
        <v>91</v>
      </c>
      <c r="K3" s="3" t="s">
        <v>90</v>
      </c>
      <c r="L3" s="3" t="s">
        <v>88</v>
      </c>
      <c r="M3" s="3" t="s">
        <v>92</v>
      </c>
      <c r="N3" s="3" t="s">
        <v>90</v>
      </c>
      <c r="O3" s="3" t="s">
        <v>88</v>
      </c>
      <c r="P3" s="3" t="s">
        <v>93</v>
      </c>
      <c r="Q3" s="3" t="s">
        <v>90</v>
      </c>
      <c r="R3" s="3" t="s">
        <v>88</v>
      </c>
      <c r="S3" s="3" t="s">
        <v>90</v>
      </c>
      <c r="T3" s="3" t="s">
        <v>90</v>
      </c>
      <c r="U3" s="3" t="s">
        <v>88</v>
      </c>
      <c r="V3" s="3" t="s">
        <v>90</v>
      </c>
      <c r="W3" s="3" t="s">
        <v>90</v>
      </c>
      <c r="Y3" s="3" t="s">
        <v>90</v>
      </c>
      <c r="Z3" s="3" t="s">
        <v>90</v>
      </c>
      <c r="AB3" s="3" t="s">
        <v>90</v>
      </c>
      <c r="AC3" s="3" t="s">
        <v>90</v>
      </c>
      <c r="AE3" s="3" t="s">
        <v>90</v>
      </c>
      <c r="AF3" s="3" t="s">
        <v>90</v>
      </c>
      <c r="AH3" s="3" t="s">
        <v>90</v>
      </c>
      <c r="AI3" s="3" t="s">
        <v>90</v>
      </c>
      <c r="AK3" s="3" t="s">
        <v>90</v>
      </c>
      <c r="AL3" s="3" t="s">
        <v>90</v>
      </c>
      <c r="AN3" s="3" t="s">
        <v>90</v>
      </c>
      <c r="AO3" s="3" t="s">
        <v>90</v>
      </c>
    </row>
    <row r="4" spans="1:68" x14ac:dyDescent="0.2">
      <c r="A4" s="1" t="s">
        <v>94</v>
      </c>
      <c r="B4" s="2">
        <v>44405.435879629629</v>
      </c>
      <c r="C4" s="1" t="s">
        <v>95</v>
      </c>
      <c r="D4" s="1" t="s">
        <v>96</v>
      </c>
      <c r="E4" s="1" t="s">
        <v>97</v>
      </c>
      <c r="F4" s="1" t="s">
        <v>72</v>
      </c>
      <c r="G4" s="1" t="s">
        <v>98</v>
      </c>
      <c r="H4" s="1" t="s">
        <v>99</v>
      </c>
      <c r="I4" s="1" t="s">
        <v>100</v>
      </c>
      <c r="J4" s="1" t="s">
        <v>101</v>
      </c>
      <c r="K4" s="1" t="s">
        <v>102</v>
      </c>
    </row>
    <row r="5" spans="1:68" x14ac:dyDescent="0.2">
      <c r="A5" s="1" t="s">
        <v>103</v>
      </c>
      <c r="B5" s="2">
        <v>44405.456041666665</v>
      </c>
      <c r="C5" s="1" t="s">
        <v>104</v>
      </c>
      <c r="D5" s="1" t="s">
        <v>105</v>
      </c>
      <c r="E5" s="1" t="s">
        <v>106</v>
      </c>
      <c r="F5" s="1" t="s">
        <v>107</v>
      </c>
      <c r="G5" s="1" t="s">
        <v>108</v>
      </c>
      <c r="H5" s="1" t="s">
        <v>109</v>
      </c>
      <c r="I5" s="1" t="s">
        <v>110</v>
      </c>
      <c r="J5" s="1" t="s">
        <v>111</v>
      </c>
      <c r="K5" s="1" t="s">
        <v>109</v>
      </c>
      <c r="L5" s="1" t="s">
        <v>112</v>
      </c>
      <c r="M5" s="1" t="s">
        <v>113</v>
      </c>
      <c r="N5" s="1" t="s">
        <v>109</v>
      </c>
      <c r="O5" s="1" t="s">
        <v>114</v>
      </c>
      <c r="P5" s="1" t="s">
        <v>115</v>
      </c>
      <c r="Q5" s="1" t="s">
        <v>116</v>
      </c>
      <c r="R5" s="1" t="s">
        <v>117</v>
      </c>
      <c r="S5" s="1" t="s">
        <v>118</v>
      </c>
      <c r="T5" s="1" t="s">
        <v>116</v>
      </c>
    </row>
    <row r="6" spans="1:68" x14ac:dyDescent="0.2">
      <c r="A6" s="1" t="s">
        <v>119</v>
      </c>
      <c r="B6" s="2">
        <v>44405.456226851849</v>
      </c>
      <c r="C6" s="1" t="s">
        <v>120</v>
      </c>
      <c r="D6" s="1" t="s">
        <v>121</v>
      </c>
      <c r="E6" s="1" t="s">
        <v>106</v>
      </c>
      <c r="F6" s="1" t="s">
        <v>88</v>
      </c>
      <c r="G6" s="1" t="s">
        <v>122</v>
      </c>
      <c r="H6" s="1" t="s">
        <v>123</v>
      </c>
      <c r="I6" s="1" t="s">
        <v>117</v>
      </c>
      <c r="J6" s="1" t="s">
        <v>122</v>
      </c>
      <c r="K6" s="1" t="s">
        <v>124</v>
      </c>
      <c r="L6" s="1" t="s">
        <v>100</v>
      </c>
      <c r="M6" s="1" t="s">
        <v>122</v>
      </c>
      <c r="N6" s="1" t="s">
        <v>125</v>
      </c>
      <c r="O6" s="1" t="s">
        <v>114</v>
      </c>
      <c r="P6" s="1" t="s">
        <v>122</v>
      </c>
      <c r="Q6" s="1" t="s">
        <v>126</v>
      </c>
      <c r="R6" s="1" t="s">
        <v>127</v>
      </c>
      <c r="S6" s="1" t="s">
        <v>122</v>
      </c>
      <c r="T6" s="1" t="s">
        <v>128</v>
      </c>
      <c r="U6" s="1" t="s">
        <v>107</v>
      </c>
      <c r="V6" s="1" t="s">
        <v>122</v>
      </c>
      <c r="W6" s="1" t="s">
        <v>129</v>
      </c>
      <c r="X6" s="1" t="s">
        <v>130</v>
      </c>
      <c r="Y6" s="1" t="s">
        <v>122</v>
      </c>
      <c r="Z6" s="1" t="s">
        <v>131</v>
      </c>
      <c r="AA6" s="1" t="s">
        <v>78</v>
      </c>
      <c r="AB6" s="1" t="s">
        <v>122</v>
      </c>
      <c r="AC6" s="1" t="s">
        <v>132</v>
      </c>
    </row>
    <row r="7" spans="1:68" x14ac:dyDescent="0.2">
      <c r="A7" s="1" t="s">
        <v>133</v>
      </c>
      <c r="B7" s="2">
        <v>44405.469861111109</v>
      </c>
      <c r="C7" s="1" t="s">
        <v>134</v>
      </c>
      <c r="D7" s="1" t="s">
        <v>135</v>
      </c>
      <c r="E7" s="1" t="s">
        <v>136</v>
      </c>
      <c r="F7" s="1" t="s">
        <v>137</v>
      </c>
      <c r="G7" s="1" t="s">
        <v>138</v>
      </c>
      <c r="H7" s="1" t="s">
        <v>139</v>
      </c>
      <c r="I7" s="1" t="s">
        <v>110</v>
      </c>
      <c r="J7" s="1" t="s">
        <v>140</v>
      </c>
      <c r="K7" s="1" t="s">
        <v>141</v>
      </c>
      <c r="L7" s="1" t="s">
        <v>72</v>
      </c>
      <c r="M7" s="1" t="s">
        <v>142</v>
      </c>
      <c r="N7" s="1" t="s">
        <v>143</v>
      </c>
      <c r="O7" s="1" t="s">
        <v>81</v>
      </c>
      <c r="P7" s="1" t="s">
        <v>144</v>
      </c>
      <c r="Q7" s="1" t="s">
        <v>145</v>
      </c>
      <c r="R7" s="1" t="s">
        <v>146</v>
      </c>
      <c r="S7" s="1" t="s">
        <v>147</v>
      </c>
      <c r="T7" s="1" t="s">
        <v>148</v>
      </c>
      <c r="U7" s="1" t="s">
        <v>100</v>
      </c>
      <c r="V7" s="1" t="s">
        <v>149</v>
      </c>
      <c r="W7" s="1" t="s">
        <v>150</v>
      </c>
      <c r="X7" s="1" t="s">
        <v>114</v>
      </c>
      <c r="Y7" s="1" t="s">
        <v>151</v>
      </c>
      <c r="Z7" s="1" t="s">
        <v>152</v>
      </c>
      <c r="AA7" s="1" t="s">
        <v>72</v>
      </c>
      <c r="AB7" s="1" t="s">
        <v>153</v>
      </c>
      <c r="AC7" s="1" t="s">
        <v>154</v>
      </c>
      <c r="AD7" s="1" t="s">
        <v>107</v>
      </c>
      <c r="AE7" s="1" t="s">
        <v>155</v>
      </c>
      <c r="AG7" s="1" t="s">
        <v>146</v>
      </c>
      <c r="AH7" s="1" t="s">
        <v>156</v>
      </c>
      <c r="AI7" s="1" t="s">
        <v>157</v>
      </c>
      <c r="AJ7" s="1" t="s">
        <v>130</v>
      </c>
      <c r="AK7" s="1" t="s">
        <v>158</v>
      </c>
      <c r="AL7" s="1" t="s">
        <v>159</v>
      </c>
      <c r="AM7" s="1" t="s">
        <v>160</v>
      </c>
      <c r="AN7" s="1" t="s">
        <v>161</v>
      </c>
      <c r="AO7" s="1" t="s">
        <v>162</v>
      </c>
      <c r="AP7" s="1" t="s">
        <v>88</v>
      </c>
      <c r="AQ7" s="1" t="s">
        <v>163</v>
      </c>
      <c r="AR7" s="1" t="s">
        <v>164</v>
      </c>
      <c r="AS7" s="1" t="s">
        <v>137</v>
      </c>
      <c r="AT7" s="1" t="s">
        <v>165</v>
      </c>
      <c r="AU7" s="1" t="s">
        <v>166</v>
      </c>
      <c r="AV7" s="1" t="s">
        <v>137</v>
      </c>
      <c r="AW7" s="1" t="s">
        <v>167</v>
      </c>
      <c r="AX7" s="1" t="s">
        <v>168</v>
      </c>
      <c r="AY7" s="1" t="s">
        <v>72</v>
      </c>
      <c r="AZ7" s="1" t="s">
        <v>169</v>
      </c>
      <c r="BA7" s="1" t="s">
        <v>170</v>
      </c>
      <c r="BB7" s="1" t="s">
        <v>171</v>
      </c>
      <c r="BC7" s="1" t="s">
        <v>172</v>
      </c>
      <c r="BD7" s="1" t="s">
        <v>173</v>
      </c>
    </row>
    <row r="8" spans="1:68" x14ac:dyDescent="0.2">
      <c r="A8" s="1" t="s">
        <v>174</v>
      </c>
      <c r="B8" s="2">
        <v>44405.475312499999</v>
      </c>
      <c r="C8" s="1" t="s">
        <v>175</v>
      </c>
      <c r="D8" s="1" t="s">
        <v>176</v>
      </c>
      <c r="E8" s="1" t="s">
        <v>177</v>
      </c>
      <c r="F8" s="1" t="s">
        <v>146</v>
      </c>
      <c r="G8" s="1" t="s">
        <v>90</v>
      </c>
      <c r="H8" s="1" t="s">
        <v>90</v>
      </c>
    </row>
    <row r="9" spans="1:68" x14ac:dyDescent="0.2">
      <c r="A9" s="1" t="s">
        <v>178</v>
      </c>
      <c r="B9" s="2">
        <v>44405.483958333331</v>
      </c>
      <c r="C9" s="1" t="s">
        <v>179</v>
      </c>
      <c r="D9" s="1" t="s">
        <v>180</v>
      </c>
      <c r="E9" s="1" t="s">
        <v>106</v>
      </c>
      <c r="F9" s="1" t="s">
        <v>88</v>
      </c>
      <c r="G9" s="1" t="s">
        <v>181</v>
      </c>
      <c r="H9" s="1" t="s">
        <v>181</v>
      </c>
    </row>
    <row r="10" spans="1:68" x14ac:dyDescent="0.2">
      <c r="A10" s="1" t="s">
        <v>182</v>
      </c>
      <c r="B10" s="2">
        <v>44405.492696759262</v>
      </c>
      <c r="C10" s="1" t="s">
        <v>183</v>
      </c>
      <c r="D10" s="1" t="s">
        <v>184</v>
      </c>
      <c r="E10" s="1" t="s">
        <v>185</v>
      </c>
      <c r="F10" s="1" t="s">
        <v>88</v>
      </c>
      <c r="G10" s="1" t="s">
        <v>186</v>
      </c>
      <c r="H10" s="1" t="s">
        <v>90</v>
      </c>
      <c r="I10" s="1" t="s">
        <v>187</v>
      </c>
      <c r="J10" s="1" t="s">
        <v>188</v>
      </c>
      <c r="K10" s="1" t="s">
        <v>189</v>
      </c>
      <c r="L10" s="1" t="s">
        <v>137</v>
      </c>
      <c r="M10" s="1" t="s">
        <v>190</v>
      </c>
      <c r="O10" s="1" t="s">
        <v>110</v>
      </c>
      <c r="P10" s="1" t="s">
        <v>191</v>
      </c>
      <c r="R10" s="1" t="s">
        <v>117</v>
      </c>
      <c r="S10" s="1" t="s">
        <v>192</v>
      </c>
      <c r="T10" s="1" t="s">
        <v>193</v>
      </c>
      <c r="U10" s="1" t="s">
        <v>75</v>
      </c>
      <c r="V10" s="1" t="s">
        <v>194</v>
      </c>
      <c r="W10" s="1" t="s">
        <v>195</v>
      </c>
      <c r="X10" s="1" t="s">
        <v>100</v>
      </c>
      <c r="Y10" s="1" t="s">
        <v>196</v>
      </c>
      <c r="Z10" s="1" t="s">
        <v>195</v>
      </c>
      <c r="AA10" s="1" t="s">
        <v>114</v>
      </c>
      <c r="AB10" s="1" t="s">
        <v>197</v>
      </c>
      <c r="AD10" s="1" t="s">
        <v>127</v>
      </c>
      <c r="AE10" s="1" t="s">
        <v>198</v>
      </c>
      <c r="AF10" s="1" t="s">
        <v>199</v>
      </c>
      <c r="AG10" s="1" t="s">
        <v>72</v>
      </c>
      <c r="AH10" s="1" t="s">
        <v>200</v>
      </c>
      <c r="AI10" s="1" t="s">
        <v>201</v>
      </c>
      <c r="AJ10" s="1" t="s">
        <v>112</v>
      </c>
      <c r="AK10" s="1" t="s">
        <v>202</v>
      </c>
      <c r="AM10" s="1" t="s">
        <v>203</v>
      </c>
      <c r="AN10" s="1" t="s">
        <v>204</v>
      </c>
      <c r="AP10" s="1" t="s">
        <v>107</v>
      </c>
      <c r="AQ10" s="1" t="s">
        <v>205</v>
      </c>
      <c r="AR10" s="1" t="s">
        <v>206</v>
      </c>
      <c r="AS10" s="1" t="s">
        <v>81</v>
      </c>
      <c r="AT10" s="1" t="s">
        <v>207</v>
      </c>
      <c r="AU10" s="1" t="s">
        <v>208</v>
      </c>
      <c r="AV10" s="1" t="s">
        <v>209</v>
      </c>
      <c r="AW10" s="1" t="s">
        <v>210</v>
      </c>
      <c r="AY10" s="1" t="s">
        <v>146</v>
      </c>
      <c r="AZ10" s="1" t="s">
        <v>211</v>
      </c>
      <c r="BB10" s="1" t="s">
        <v>171</v>
      </c>
      <c r="BC10" s="1" t="s">
        <v>212</v>
      </c>
      <c r="BD10" s="1" t="s">
        <v>213</v>
      </c>
      <c r="BE10" s="1" t="s">
        <v>130</v>
      </c>
      <c r="BF10" s="1" t="s">
        <v>214</v>
      </c>
      <c r="BH10" s="1" t="s">
        <v>215</v>
      </c>
      <c r="BI10" s="1" t="s">
        <v>216</v>
      </c>
      <c r="BJ10" s="1" t="s">
        <v>217</v>
      </c>
      <c r="BK10" s="1" t="s">
        <v>78</v>
      </c>
      <c r="BL10" s="1" t="s">
        <v>218</v>
      </c>
    </row>
    <row r="11" spans="1:68" x14ac:dyDescent="0.2">
      <c r="A11" s="1" t="s">
        <v>219</v>
      </c>
      <c r="B11" s="2">
        <v>44405.501203703701</v>
      </c>
      <c r="C11" s="1" t="s">
        <v>220</v>
      </c>
      <c r="D11" s="1" t="s">
        <v>221</v>
      </c>
      <c r="E11" s="1" t="s">
        <v>222</v>
      </c>
      <c r="F11" s="1" t="s">
        <v>146</v>
      </c>
      <c r="G11" s="1" t="s">
        <v>223</v>
      </c>
      <c r="H11" s="1" t="s">
        <v>224</v>
      </c>
      <c r="I11" s="1" t="s">
        <v>146</v>
      </c>
      <c r="J11" s="1" t="s">
        <v>225</v>
      </c>
      <c r="K11" s="1" t="s">
        <v>226</v>
      </c>
      <c r="L11" s="1" t="s">
        <v>146</v>
      </c>
      <c r="M11" s="1" t="s">
        <v>227</v>
      </c>
      <c r="N11" s="1" t="s">
        <v>228</v>
      </c>
    </row>
    <row r="12" spans="1:68" x14ac:dyDescent="0.2">
      <c r="A12" s="1" t="s">
        <v>229</v>
      </c>
      <c r="B12" s="2">
        <v>44405.502256944441</v>
      </c>
      <c r="C12" s="1" t="s">
        <v>230</v>
      </c>
      <c r="D12" s="1" t="s">
        <v>231</v>
      </c>
      <c r="E12" s="1" t="s">
        <v>232</v>
      </c>
      <c r="F12" s="1" t="s">
        <v>72</v>
      </c>
      <c r="G12" s="1" t="s">
        <v>233</v>
      </c>
      <c r="H12" s="1" t="s">
        <v>234</v>
      </c>
      <c r="I12" s="1" t="s">
        <v>72</v>
      </c>
      <c r="J12" s="1" t="s">
        <v>235</v>
      </c>
      <c r="K12" s="1" t="s">
        <v>236</v>
      </c>
    </row>
    <row r="13" spans="1:68" x14ac:dyDescent="0.2">
      <c r="A13" s="1" t="s">
        <v>237</v>
      </c>
      <c r="B13" s="2">
        <v>44405.509548611109</v>
      </c>
      <c r="C13" s="1" t="s">
        <v>238</v>
      </c>
      <c r="D13" s="1" t="s">
        <v>239</v>
      </c>
      <c r="E13" s="1" t="s">
        <v>240</v>
      </c>
      <c r="F13" s="1" t="s">
        <v>72</v>
      </c>
      <c r="G13" s="1" t="s">
        <v>241</v>
      </c>
      <c r="H13" s="1" t="s">
        <v>242</v>
      </c>
      <c r="J13" s="1" t="s">
        <v>90</v>
      </c>
      <c r="K13" s="1" t="s">
        <v>90</v>
      </c>
      <c r="M13" s="1" t="s">
        <v>90</v>
      </c>
      <c r="N13" s="1" t="s">
        <v>90</v>
      </c>
      <c r="P13" s="1" t="s">
        <v>90</v>
      </c>
      <c r="Q13" s="1" t="s">
        <v>90</v>
      </c>
      <c r="S13" s="1" t="s">
        <v>90</v>
      </c>
      <c r="T13" s="1" t="s">
        <v>90</v>
      </c>
      <c r="V13" s="1" t="s">
        <v>90</v>
      </c>
      <c r="W13" s="1" t="s">
        <v>90</v>
      </c>
      <c r="Y13" s="1" t="s">
        <v>90</v>
      </c>
      <c r="Z13" s="1" t="s">
        <v>90</v>
      </c>
      <c r="AB13" s="1" t="s">
        <v>90</v>
      </c>
      <c r="AC13" s="1" t="s">
        <v>90</v>
      </c>
      <c r="AE13" s="1" t="s">
        <v>90</v>
      </c>
      <c r="AF13" s="1" t="s">
        <v>90</v>
      </c>
      <c r="AH13" s="1" t="s">
        <v>90</v>
      </c>
      <c r="AI13" s="1" t="s">
        <v>90</v>
      </c>
      <c r="AK13" s="1" t="s">
        <v>90</v>
      </c>
      <c r="AL13" s="1" t="s">
        <v>90</v>
      </c>
      <c r="AN13" s="1" t="s">
        <v>90</v>
      </c>
      <c r="AO13" s="1" t="s">
        <v>90</v>
      </c>
      <c r="AQ13" s="1" t="s">
        <v>90</v>
      </c>
      <c r="AR13" s="1" t="s">
        <v>90</v>
      </c>
      <c r="AT13" s="1" t="s">
        <v>90</v>
      </c>
      <c r="AU13" s="1" t="s">
        <v>90</v>
      </c>
      <c r="AW13" s="1" t="s">
        <v>90</v>
      </c>
      <c r="AX13" s="1" t="s">
        <v>90</v>
      </c>
      <c r="AZ13" s="1" t="s">
        <v>90</v>
      </c>
      <c r="BA13" s="1" t="s">
        <v>90</v>
      </c>
      <c r="BC13" s="1" t="s">
        <v>90</v>
      </c>
      <c r="BD13" s="1" t="s">
        <v>90</v>
      </c>
      <c r="BF13" s="1" t="s">
        <v>90</v>
      </c>
      <c r="BG13" s="1" t="s">
        <v>90</v>
      </c>
      <c r="BI13" s="1" t="s">
        <v>90</v>
      </c>
      <c r="BJ13" s="1" t="s">
        <v>90</v>
      </c>
      <c r="BL13" s="1" t="s">
        <v>90</v>
      </c>
      <c r="BM13" s="1" t="s">
        <v>90</v>
      </c>
      <c r="BO13" s="1" t="s">
        <v>90</v>
      </c>
      <c r="BP13" s="1" t="s">
        <v>90</v>
      </c>
    </row>
    <row r="14" spans="1:68" ht="409.6" x14ac:dyDescent="0.2">
      <c r="A14" s="1" t="s">
        <v>243</v>
      </c>
      <c r="B14" s="2">
        <v>44405.556863425925</v>
      </c>
      <c r="C14" s="1" t="s">
        <v>244</v>
      </c>
      <c r="D14" s="1" t="s">
        <v>245</v>
      </c>
      <c r="E14" s="1" t="s">
        <v>246</v>
      </c>
      <c r="F14" s="1" t="s">
        <v>117</v>
      </c>
      <c r="G14" s="1" t="s">
        <v>247</v>
      </c>
      <c r="H14" s="1" t="s">
        <v>247</v>
      </c>
      <c r="I14" s="1" t="s">
        <v>75</v>
      </c>
      <c r="J14" s="1" t="s">
        <v>248</v>
      </c>
      <c r="K14" s="1" t="s">
        <v>248</v>
      </c>
      <c r="L14" s="1" t="s">
        <v>100</v>
      </c>
      <c r="M14" s="1" t="s">
        <v>249</v>
      </c>
      <c r="N14" s="1" t="s">
        <v>249</v>
      </c>
      <c r="O14" s="1" t="s">
        <v>215</v>
      </c>
      <c r="P14" s="1" t="s">
        <v>250</v>
      </c>
      <c r="Q14" s="1" t="s">
        <v>250</v>
      </c>
      <c r="R14" s="1" t="s">
        <v>130</v>
      </c>
      <c r="S14" s="16" t="s">
        <v>251</v>
      </c>
      <c r="T14" s="1" t="s">
        <v>251</v>
      </c>
    </row>
    <row r="15" spans="1:68" x14ac:dyDescent="0.2">
      <c r="A15" s="1" t="s">
        <v>252</v>
      </c>
      <c r="B15" s="2">
        <v>44405.561273148145</v>
      </c>
      <c r="C15" s="1" t="s">
        <v>253</v>
      </c>
      <c r="D15" s="1" t="s">
        <v>254</v>
      </c>
      <c r="E15" s="1" t="s">
        <v>106</v>
      </c>
      <c r="F15" s="1" t="s">
        <v>72</v>
      </c>
      <c r="G15" s="1" t="s">
        <v>90</v>
      </c>
      <c r="H15" s="1" t="s">
        <v>90</v>
      </c>
    </row>
    <row r="16" spans="1:68" x14ac:dyDescent="0.2">
      <c r="A16" s="1" t="s">
        <v>255</v>
      </c>
      <c r="B16" s="2">
        <v>44405.571250000001</v>
      </c>
      <c r="C16" s="1" t="s">
        <v>256</v>
      </c>
      <c r="D16" s="1" t="s">
        <v>257</v>
      </c>
      <c r="E16" s="1" t="s">
        <v>258</v>
      </c>
      <c r="F16" s="1" t="s">
        <v>187</v>
      </c>
      <c r="G16" s="1" t="s">
        <v>259</v>
      </c>
      <c r="H16" s="1" t="s">
        <v>260</v>
      </c>
    </row>
    <row r="17" spans="1:44" x14ac:dyDescent="0.2">
      <c r="A17" s="1" t="s">
        <v>261</v>
      </c>
      <c r="B17" s="2">
        <v>44405.593680555554</v>
      </c>
      <c r="C17" s="1" t="s">
        <v>253</v>
      </c>
      <c r="D17" s="1" t="s">
        <v>254</v>
      </c>
      <c r="E17" s="1" t="s">
        <v>106</v>
      </c>
      <c r="F17" s="1" t="s">
        <v>72</v>
      </c>
      <c r="G17" s="1" t="s">
        <v>90</v>
      </c>
      <c r="H17" s="1" t="s">
        <v>90</v>
      </c>
    </row>
    <row r="18" spans="1:44" x14ac:dyDescent="0.2">
      <c r="A18" s="1" t="s">
        <v>262</v>
      </c>
      <c r="B18" s="2">
        <v>44405.60832175926</v>
      </c>
      <c r="C18" s="1" t="s">
        <v>263</v>
      </c>
      <c r="D18" s="1" t="s">
        <v>264</v>
      </c>
      <c r="E18" s="1" t="s">
        <v>265</v>
      </c>
      <c r="F18" s="1" t="s">
        <v>171</v>
      </c>
      <c r="G18" s="1" t="s">
        <v>266</v>
      </c>
      <c r="H18" s="1" t="s">
        <v>267</v>
      </c>
      <c r="I18" s="1" t="s">
        <v>107</v>
      </c>
      <c r="J18" s="1" t="s">
        <v>268</v>
      </c>
      <c r="K18" s="1" t="s">
        <v>269</v>
      </c>
    </row>
    <row r="19" spans="1:44" x14ac:dyDescent="0.2">
      <c r="A19" s="1" t="s">
        <v>270</v>
      </c>
      <c r="B19" s="2">
        <v>44405.609560185185</v>
      </c>
      <c r="C19" s="1" t="s">
        <v>271</v>
      </c>
      <c r="D19" s="1" t="s">
        <v>272</v>
      </c>
      <c r="E19" s="1" t="s">
        <v>273</v>
      </c>
      <c r="F19" s="1" t="s">
        <v>209</v>
      </c>
      <c r="G19" s="1" t="s">
        <v>274</v>
      </c>
      <c r="H19" s="1" t="s">
        <v>90</v>
      </c>
      <c r="I19" s="1" t="s">
        <v>187</v>
      </c>
      <c r="J19" s="1" t="s">
        <v>275</v>
      </c>
      <c r="K19" s="1" t="s">
        <v>276</v>
      </c>
      <c r="L19" s="1" t="s">
        <v>75</v>
      </c>
      <c r="M19" s="1" t="s">
        <v>277</v>
      </c>
      <c r="N19" s="1" t="s">
        <v>278</v>
      </c>
      <c r="O19" s="1" t="s">
        <v>130</v>
      </c>
      <c r="P19" s="1" t="s">
        <v>279</v>
      </c>
      <c r="Q19" s="1" t="s">
        <v>280</v>
      </c>
      <c r="R19" s="1" t="s">
        <v>171</v>
      </c>
      <c r="S19" s="1" t="s">
        <v>281</v>
      </c>
      <c r="T19" s="1" t="s">
        <v>282</v>
      </c>
      <c r="U19" s="1" t="s">
        <v>112</v>
      </c>
      <c r="V19" s="1" t="s">
        <v>283</v>
      </c>
      <c r="W19" s="1" t="s">
        <v>284</v>
      </c>
      <c r="X19" s="1" t="s">
        <v>187</v>
      </c>
      <c r="Y19" s="1" t="s">
        <v>285</v>
      </c>
      <c r="Z19" s="1" t="s">
        <v>286</v>
      </c>
      <c r="AA19" s="1" t="s">
        <v>209</v>
      </c>
      <c r="AB19" s="1" t="s">
        <v>287</v>
      </c>
    </row>
    <row r="20" spans="1:44" x14ac:dyDescent="0.2">
      <c r="A20" s="1" t="s">
        <v>288</v>
      </c>
      <c r="B20" s="2">
        <v>44405.625740740739</v>
      </c>
      <c r="C20" s="1" t="s">
        <v>289</v>
      </c>
      <c r="D20" s="1" t="s">
        <v>290</v>
      </c>
      <c r="E20" s="1" t="s">
        <v>291</v>
      </c>
      <c r="F20" s="1" t="s">
        <v>171</v>
      </c>
      <c r="G20" s="1" t="s">
        <v>292</v>
      </c>
      <c r="H20" s="1" t="s">
        <v>90</v>
      </c>
      <c r="I20" s="1" t="s">
        <v>78</v>
      </c>
      <c r="J20" s="1" t="s">
        <v>293</v>
      </c>
      <c r="K20" s="1" t="s">
        <v>90</v>
      </c>
      <c r="L20" s="1" t="s">
        <v>72</v>
      </c>
      <c r="M20" s="1" t="s">
        <v>294</v>
      </c>
      <c r="N20" s="1" t="s">
        <v>90</v>
      </c>
    </row>
    <row r="21" spans="1:44" ht="15.75" customHeight="1" x14ac:dyDescent="0.2">
      <c r="A21" s="1" t="s">
        <v>295</v>
      </c>
      <c r="B21" s="2">
        <v>44405.636111111111</v>
      </c>
      <c r="C21" s="1" t="s">
        <v>296</v>
      </c>
      <c r="D21" s="1" t="s">
        <v>297</v>
      </c>
      <c r="E21" s="1" t="s">
        <v>298</v>
      </c>
      <c r="F21" s="1" t="s">
        <v>72</v>
      </c>
      <c r="G21" s="1" t="s">
        <v>299</v>
      </c>
      <c r="H21" s="1" t="s">
        <v>300</v>
      </c>
      <c r="I21" s="1" t="s">
        <v>81</v>
      </c>
      <c r="J21" s="1" t="s">
        <v>301</v>
      </c>
      <c r="K21" s="1" t="s">
        <v>302</v>
      </c>
    </row>
    <row r="22" spans="1:44" ht="15.75" customHeight="1" x14ac:dyDescent="0.2">
      <c r="A22" s="1" t="s">
        <v>303</v>
      </c>
      <c r="B22" s="2">
        <v>44405.647662037038</v>
      </c>
      <c r="C22" s="1" t="s">
        <v>304</v>
      </c>
      <c r="D22" s="1" t="s">
        <v>305</v>
      </c>
      <c r="E22" s="1" t="s">
        <v>305</v>
      </c>
      <c r="F22" s="1" t="s">
        <v>72</v>
      </c>
      <c r="G22" s="1" t="s">
        <v>306</v>
      </c>
      <c r="H22" s="1" t="s">
        <v>307</v>
      </c>
      <c r="I22" s="1" t="s">
        <v>117</v>
      </c>
      <c r="J22" s="1" t="s">
        <v>308</v>
      </c>
      <c r="K22" s="1" t="s">
        <v>307</v>
      </c>
      <c r="L22" s="1" t="s">
        <v>88</v>
      </c>
      <c r="M22" s="1" t="s">
        <v>309</v>
      </c>
      <c r="N22" s="1" t="s">
        <v>307</v>
      </c>
      <c r="O22" s="1" t="s">
        <v>130</v>
      </c>
      <c r="P22" s="1" t="s">
        <v>310</v>
      </c>
    </row>
    <row r="23" spans="1:44" ht="15.75" customHeight="1" x14ac:dyDescent="0.2">
      <c r="A23" s="1" t="s">
        <v>311</v>
      </c>
      <c r="B23" s="2">
        <v>44405.676574074074</v>
      </c>
      <c r="C23" s="1" t="s">
        <v>312</v>
      </c>
      <c r="D23" s="1" t="s">
        <v>313</v>
      </c>
      <c r="E23" s="1" t="s">
        <v>314</v>
      </c>
      <c r="F23" s="1" t="s">
        <v>81</v>
      </c>
      <c r="G23" s="1" t="s">
        <v>315</v>
      </c>
      <c r="H23" s="1" t="s">
        <v>316</v>
      </c>
    </row>
    <row r="24" spans="1:44" ht="15.75" customHeight="1" x14ac:dyDescent="0.2">
      <c r="A24" s="1" t="s">
        <v>317</v>
      </c>
      <c r="B24" s="2">
        <v>44405.677025462966</v>
      </c>
      <c r="C24" s="1" t="s">
        <v>318</v>
      </c>
      <c r="D24" s="1" t="s">
        <v>319</v>
      </c>
      <c r="E24" s="1" t="s">
        <v>320</v>
      </c>
      <c r="F24" s="1" t="s">
        <v>137</v>
      </c>
      <c r="G24" s="1" t="s">
        <v>321</v>
      </c>
      <c r="H24" s="1" t="s">
        <v>322</v>
      </c>
      <c r="I24" s="1" t="s">
        <v>117</v>
      </c>
      <c r="J24" s="1" t="s">
        <v>323</v>
      </c>
      <c r="K24" s="1" t="s">
        <v>324</v>
      </c>
      <c r="L24" s="1" t="s">
        <v>75</v>
      </c>
      <c r="M24" s="1" t="s">
        <v>323</v>
      </c>
      <c r="N24" s="1" t="s">
        <v>325</v>
      </c>
      <c r="O24" s="1" t="s">
        <v>100</v>
      </c>
      <c r="P24" s="1" t="s">
        <v>323</v>
      </c>
      <c r="Q24" s="1" t="s">
        <v>326</v>
      </c>
      <c r="R24" s="1" t="s">
        <v>114</v>
      </c>
      <c r="S24" s="1" t="s">
        <v>323</v>
      </c>
      <c r="T24" s="1" t="s">
        <v>327</v>
      </c>
      <c r="U24" s="1" t="s">
        <v>127</v>
      </c>
      <c r="V24" s="1" t="s">
        <v>323</v>
      </c>
      <c r="W24" s="1" t="s">
        <v>328</v>
      </c>
      <c r="X24" s="1" t="s">
        <v>209</v>
      </c>
      <c r="Y24" s="1" t="s">
        <v>323</v>
      </c>
      <c r="Z24" s="1" t="s">
        <v>329</v>
      </c>
    </row>
    <row r="25" spans="1:44" ht="15.75" customHeight="1" x14ac:dyDescent="0.2">
      <c r="A25" s="1" t="s">
        <v>330</v>
      </c>
      <c r="B25" s="2">
        <v>44405.727662037039</v>
      </c>
      <c r="C25" s="1" t="s">
        <v>331</v>
      </c>
      <c r="D25" s="1" t="s">
        <v>332</v>
      </c>
      <c r="E25" s="1" t="s">
        <v>333</v>
      </c>
      <c r="F25" s="1" t="s">
        <v>114</v>
      </c>
      <c r="G25" s="1" t="s">
        <v>334</v>
      </c>
      <c r="H25" s="1" t="s">
        <v>335</v>
      </c>
      <c r="I25" s="1" t="s">
        <v>78</v>
      </c>
      <c r="J25" s="1" t="s">
        <v>336</v>
      </c>
      <c r="K25" s="1" t="s">
        <v>337</v>
      </c>
      <c r="L25" s="1" t="s">
        <v>171</v>
      </c>
      <c r="M25" s="1" t="s">
        <v>338</v>
      </c>
      <c r="N25" s="1" t="s">
        <v>337</v>
      </c>
      <c r="O25" s="1" t="s">
        <v>215</v>
      </c>
      <c r="P25" s="1" t="s">
        <v>339</v>
      </c>
      <c r="Q25" s="1" t="s">
        <v>337</v>
      </c>
      <c r="R25" s="1" t="s">
        <v>114</v>
      </c>
      <c r="S25" s="1" t="s">
        <v>340</v>
      </c>
      <c r="T25" s="1" t="s">
        <v>337</v>
      </c>
      <c r="U25" s="1" t="s">
        <v>127</v>
      </c>
      <c r="V25" s="1" t="s">
        <v>341</v>
      </c>
      <c r="W25" s="1" t="s">
        <v>337</v>
      </c>
      <c r="X25" s="1" t="s">
        <v>117</v>
      </c>
      <c r="Y25" s="1" t="s">
        <v>342</v>
      </c>
      <c r="Z25" s="1" t="s">
        <v>337</v>
      </c>
      <c r="AA25" s="1" t="s">
        <v>114</v>
      </c>
      <c r="AB25" s="1" t="s">
        <v>343</v>
      </c>
      <c r="AC25" s="1" t="s">
        <v>337</v>
      </c>
      <c r="AD25" s="1" t="s">
        <v>117</v>
      </c>
      <c r="AE25" s="1" t="s">
        <v>344</v>
      </c>
      <c r="AF25" s="1" t="s">
        <v>345</v>
      </c>
      <c r="AG25" s="1" t="s">
        <v>72</v>
      </c>
      <c r="AH25" s="1" t="s">
        <v>346</v>
      </c>
      <c r="AI25" s="1" t="s">
        <v>337</v>
      </c>
      <c r="AJ25" s="1" t="s">
        <v>81</v>
      </c>
      <c r="AK25" s="1" t="s">
        <v>347</v>
      </c>
      <c r="AL25" s="1" t="s">
        <v>348</v>
      </c>
      <c r="AM25" s="1" t="s">
        <v>107</v>
      </c>
      <c r="AN25" s="1" t="s">
        <v>349</v>
      </c>
      <c r="AO25" s="1" t="s">
        <v>337</v>
      </c>
      <c r="AP25" s="1" t="s">
        <v>78</v>
      </c>
      <c r="AQ25" s="1" t="s">
        <v>350</v>
      </c>
      <c r="AR25" s="1" t="s">
        <v>337</v>
      </c>
    </row>
    <row r="26" spans="1:44" ht="15.75" customHeight="1" x14ac:dyDescent="0.2">
      <c r="A26" s="1" t="s">
        <v>351</v>
      </c>
      <c r="B26" s="2">
        <v>44405.759814814817</v>
      </c>
      <c r="C26" s="1" t="s">
        <v>352</v>
      </c>
      <c r="D26" s="1" t="s">
        <v>353</v>
      </c>
      <c r="E26" s="1" t="s">
        <v>354</v>
      </c>
      <c r="F26" s="1" t="s">
        <v>107</v>
      </c>
      <c r="G26" s="1" t="s">
        <v>355</v>
      </c>
      <c r="H26" s="1" t="s">
        <v>90</v>
      </c>
      <c r="I26" s="1" t="s">
        <v>88</v>
      </c>
      <c r="J26" s="1" t="s">
        <v>356</v>
      </c>
      <c r="K26" s="1" t="s">
        <v>90</v>
      </c>
      <c r="L26" s="1" t="s">
        <v>137</v>
      </c>
      <c r="M26" s="1" t="s">
        <v>356</v>
      </c>
      <c r="N26" s="1" t="s">
        <v>90</v>
      </c>
      <c r="O26" s="1" t="s">
        <v>117</v>
      </c>
      <c r="P26" s="1" t="s">
        <v>357</v>
      </c>
      <c r="Q26" s="1" t="s">
        <v>90</v>
      </c>
      <c r="R26" s="1" t="s">
        <v>114</v>
      </c>
      <c r="S26" s="1" t="s">
        <v>358</v>
      </c>
      <c r="T26" s="1" t="s">
        <v>90</v>
      </c>
      <c r="U26" s="1" t="s">
        <v>127</v>
      </c>
      <c r="V26" s="1" t="s">
        <v>359</v>
      </c>
      <c r="W26" s="1" t="s">
        <v>90</v>
      </c>
      <c r="X26" s="1" t="s">
        <v>112</v>
      </c>
      <c r="Y26" s="1" t="s">
        <v>359</v>
      </c>
      <c r="Z26" s="1" t="s">
        <v>90</v>
      </c>
      <c r="AA26" s="1" t="s">
        <v>81</v>
      </c>
      <c r="AB26" s="1" t="s">
        <v>360</v>
      </c>
      <c r="AC26" s="1" t="s">
        <v>90</v>
      </c>
      <c r="AD26" s="1" t="s">
        <v>171</v>
      </c>
      <c r="AE26" s="1" t="s">
        <v>361</v>
      </c>
      <c r="AF26" s="1" t="s">
        <v>90</v>
      </c>
      <c r="AG26" s="1" t="s">
        <v>130</v>
      </c>
      <c r="AH26" s="1" t="s">
        <v>362</v>
      </c>
      <c r="AI26" s="1" t="s">
        <v>90</v>
      </c>
      <c r="AJ26" s="1" t="s">
        <v>160</v>
      </c>
      <c r="AK26" s="1" t="s">
        <v>363</v>
      </c>
      <c r="AL26" s="1" t="s">
        <v>90</v>
      </c>
      <c r="AM26" s="1" t="s">
        <v>78</v>
      </c>
      <c r="AN26" s="1" t="s">
        <v>364</v>
      </c>
      <c r="AO26" s="1" t="s">
        <v>90</v>
      </c>
    </row>
    <row r="27" spans="1:44" s="9" customFormat="1" ht="15.75" customHeight="1" x14ac:dyDescent="0.2">
      <c r="A27" s="9" t="s">
        <v>365</v>
      </c>
      <c r="B27" s="10">
        <v>44406.635879629634</v>
      </c>
      <c r="C27" s="9" t="s">
        <v>366</v>
      </c>
      <c r="D27" s="9" t="s">
        <v>367</v>
      </c>
      <c r="E27" s="9" t="s">
        <v>368</v>
      </c>
      <c r="F27" s="9" t="s">
        <v>215</v>
      </c>
      <c r="G27" s="9" t="s">
        <v>369</v>
      </c>
      <c r="H27" s="9" t="s">
        <v>370</v>
      </c>
    </row>
    <row r="28" spans="1:44" ht="15.75" customHeight="1" x14ac:dyDescent="0.2"/>
    <row r="29" spans="1:44" ht="15.75" customHeight="1" x14ac:dyDescent="0.2"/>
    <row r="30" spans="1:44" ht="15.75" customHeight="1" x14ac:dyDescent="0.2"/>
    <row r="31" spans="1:44" ht="15.75" customHeight="1" x14ac:dyDescent="0.2"/>
    <row r="32" spans="1:44"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sheetData>
  <pageMargins left="0.7" right="0.7" top="0.75" bottom="0.75" header="0" footer="0"/>
  <pageSetup orientation="landscape"/>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132"/>
  <sheetViews>
    <sheetView workbookViewId="0">
      <pane ySplit="1" topLeftCell="A100" activePane="bottomLeft" state="frozen"/>
      <selection pane="bottomLeft" activeCell="G108" sqref="G108"/>
    </sheetView>
  </sheetViews>
  <sheetFormatPr baseColWidth="10" defaultColWidth="11.5" defaultRowHeight="15" x14ac:dyDescent="0.2"/>
  <cols>
    <col min="1" max="1" width="11.5" style="1"/>
    <col min="2" max="2" width="23" style="1"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8" customFormat="1" x14ac:dyDescent="0.2">
      <c r="A1" s="11" t="s">
        <v>398</v>
      </c>
      <c r="B1" s="11" t="s">
        <v>399</v>
      </c>
      <c r="C1" s="11" t="s">
        <v>400</v>
      </c>
      <c r="D1" s="11" t="s">
        <v>403</v>
      </c>
      <c r="E1" s="11" t="s">
        <v>404</v>
      </c>
      <c r="F1" s="11" t="s">
        <v>397</v>
      </c>
      <c r="G1" s="11" t="s">
        <v>401</v>
      </c>
      <c r="H1" s="11" t="s">
        <v>402</v>
      </c>
    </row>
    <row r="2" spans="1:8" x14ac:dyDescent="0.2">
      <c r="A2" s="1">
        <v>203023</v>
      </c>
      <c r="B2" s="1" t="s">
        <v>371</v>
      </c>
      <c r="C2" s="1" t="s">
        <v>69</v>
      </c>
      <c r="D2" s="1" t="s">
        <v>70</v>
      </c>
      <c r="E2" s="1" t="s">
        <v>71</v>
      </c>
      <c r="F2" s="1" t="s">
        <v>72</v>
      </c>
      <c r="G2" s="1" t="s">
        <v>73</v>
      </c>
      <c r="H2" s="1" t="s">
        <v>74</v>
      </c>
    </row>
    <row r="3" spans="1:8" x14ac:dyDescent="0.2">
      <c r="A3" s="1">
        <v>203023</v>
      </c>
      <c r="B3" s="1" t="s">
        <v>371</v>
      </c>
      <c r="C3" s="1" t="s">
        <v>69</v>
      </c>
      <c r="D3" s="1" t="s">
        <v>70</v>
      </c>
      <c r="E3" s="1" t="s">
        <v>71</v>
      </c>
      <c r="F3" s="1" t="s">
        <v>75</v>
      </c>
      <c r="G3" s="1" t="s">
        <v>76</v>
      </c>
      <c r="H3" s="1" t="s">
        <v>77</v>
      </c>
    </row>
    <row r="4" spans="1:8" x14ac:dyDescent="0.2">
      <c r="A4" s="1">
        <v>203023</v>
      </c>
      <c r="B4" s="1" t="s">
        <v>371</v>
      </c>
      <c r="C4" s="1" t="s">
        <v>69</v>
      </c>
      <c r="D4" s="1" t="s">
        <v>70</v>
      </c>
      <c r="E4" s="1" t="s">
        <v>71</v>
      </c>
      <c r="F4" s="1" t="s">
        <v>78</v>
      </c>
      <c r="G4" s="1" t="s">
        <v>79</v>
      </c>
      <c r="H4" s="1" t="s">
        <v>80</v>
      </c>
    </row>
    <row r="5" spans="1:8" x14ac:dyDescent="0.2">
      <c r="A5" s="1">
        <v>203023</v>
      </c>
      <c r="B5" s="1" t="s">
        <v>371</v>
      </c>
      <c r="C5" s="1" t="s">
        <v>69</v>
      </c>
      <c r="D5" s="1" t="s">
        <v>70</v>
      </c>
      <c r="E5" s="1" t="s">
        <v>71</v>
      </c>
      <c r="F5" s="1" t="s">
        <v>81</v>
      </c>
      <c r="G5" s="1" t="s">
        <v>82</v>
      </c>
      <c r="H5" s="1" t="s">
        <v>83</v>
      </c>
    </row>
    <row r="6" spans="1:8" x14ac:dyDescent="0.2">
      <c r="A6" s="1">
        <v>203662</v>
      </c>
      <c r="B6" s="1" t="s">
        <v>372</v>
      </c>
      <c r="C6" s="1" t="s">
        <v>85</v>
      </c>
      <c r="D6" s="1" t="s">
        <v>86</v>
      </c>
      <c r="E6" s="1" t="s">
        <v>87</v>
      </c>
      <c r="F6" s="1" t="s">
        <v>88</v>
      </c>
      <c r="G6" s="1" t="s">
        <v>89</v>
      </c>
      <c r="H6" s="1" t="s">
        <v>90</v>
      </c>
    </row>
    <row r="7" spans="1:8" x14ac:dyDescent="0.2">
      <c r="A7" s="1">
        <v>203662</v>
      </c>
      <c r="B7" s="1" t="s">
        <v>372</v>
      </c>
      <c r="C7" s="1" t="s">
        <v>85</v>
      </c>
      <c r="D7" s="1" t="s">
        <v>86</v>
      </c>
      <c r="E7" s="1" t="s">
        <v>87</v>
      </c>
      <c r="F7" s="1" t="s">
        <v>88</v>
      </c>
      <c r="G7" s="1" t="s">
        <v>91</v>
      </c>
      <c r="H7" s="1" t="s">
        <v>90</v>
      </c>
    </row>
    <row r="8" spans="1:8" x14ac:dyDescent="0.2">
      <c r="A8" s="1">
        <v>203662</v>
      </c>
      <c r="B8" s="1" t="s">
        <v>372</v>
      </c>
      <c r="C8" s="1" t="s">
        <v>85</v>
      </c>
      <c r="D8" s="1" t="s">
        <v>86</v>
      </c>
      <c r="E8" s="1" t="s">
        <v>87</v>
      </c>
      <c r="F8" s="1" t="s">
        <v>88</v>
      </c>
      <c r="G8" s="1" t="s">
        <v>92</v>
      </c>
      <c r="H8" s="1" t="s">
        <v>90</v>
      </c>
    </row>
    <row r="9" spans="1:8" x14ac:dyDescent="0.2">
      <c r="A9" s="1">
        <v>203662</v>
      </c>
      <c r="B9" s="1" t="s">
        <v>372</v>
      </c>
      <c r="C9" s="1" t="s">
        <v>85</v>
      </c>
      <c r="D9" s="1" t="s">
        <v>86</v>
      </c>
      <c r="E9" s="1" t="s">
        <v>87</v>
      </c>
      <c r="F9" s="1" t="s">
        <v>88</v>
      </c>
      <c r="G9" s="1" t="s">
        <v>93</v>
      </c>
      <c r="H9" s="1" t="s">
        <v>90</v>
      </c>
    </row>
    <row r="10" spans="1:8" x14ac:dyDescent="0.2">
      <c r="A10" s="1">
        <v>203662</v>
      </c>
      <c r="B10" s="1" t="s">
        <v>372</v>
      </c>
      <c r="C10" s="1" t="s">
        <v>85</v>
      </c>
      <c r="D10" s="1" t="s">
        <v>86</v>
      </c>
      <c r="E10" s="1" t="s">
        <v>87</v>
      </c>
      <c r="F10" s="1" t="s">
        <v>88</v>
      </c>
      <c r="G10" s="1" t="s">
        <v>90</v>
      </c>
      <c r="H10" s="1" t="s">
        <v>90</v>
      </c>
    </row>
    <row r="11" spans="1:8" x14ac:dyDescent="0.2">
      <c r="A11" s="1">
        <v>203662</v>
      </c>
      <c r="B11" s="1" t="s">
        <v>372</v>
      </c>
      <c r="C11" s="1" t="s">
        <v>85</v>
      </c>
      <c r="D11" s="1" t="s">
        <v>86</v>
      </c>
      <c r="E11" s="1" t="s">
        <v>87</v>
      </c>
      <c r="F11" s="1" t="s">
        <v>88</v>
      </c>
      <c r="G11" s="1" t="s">
        <v>90</v>
      </c>
      <c r="H11" s="1" t="s">
        <v>90</v>
      </c>
    </row>
    <row r="12" spans="1:8" x14ac:dyDescent="0.2">
      <c r="A12" s="1">
        <v>203770</v>
      </c>
      <c r="B12" s="1" t="s">
        <v>373</v>
      </c>
      <c r="C12" s="1" t="s">
        <v>95</v>
      </c>
      <c r="D12" s="1" t="s">
        <v>96</v>
      </c>
      <c r="E12" s="1" t="s">
        <v>97</v>
      </c>
      <c r="F12" s="1" t="s">
        <v>72</v>
      </c>
      <c r="G12" s="1" t="s">
        <v>98</v>
      </c>
      <c r="H12" s="1" t="s">
        <v>99</v>
      </c>
    </row>
    <row r="13" spans="1:8" x14ac:dyDescent="0.2">
      <c r="A13" s="1">
        <v>203770</v>
      </c>
      <c r="B13" s="1" t="s">
        <v>373</v>
      </c>
      <c r="C13" s="1" t="s">
        <v>95</v>
      </c>
      <c r="D13" s="1" t="s">
        <v>96</v>
      </c>
      <c r="E13" s="1" t="s">
        <v>97</v>
      </c>
      <c r="F13" s="1" t="s">
        <v>100</v>
      </c>
      <c r="G13" s="1" t="s">
        <v>101</v>
      </c>
      <c r="H13" s="1" t="s">
        <v>102</v>
      </c>
    </row>
    <row r="14" spans="1:8" x14ac:dyDescent="0.2">
      <c r="A14" s="1">
        <v>203830</v>
      </c>
      <c r="B14" s="1" t="s">
        <v>374</v>
      </c>
      <c r="C14" s="1" t="s">
        <v>104</v>
      </c>
      <c r="D14" s="1" t="s">
        <v>105</v>
      </c>
      <c r="E14" s="1" t="s">
        <v>106</v>
      </c>
      <c r="F14" s="1" t="s">
        <v>107</v>
      </c>
      <c r="G14" s="1" t="s">
        <v>108</v>
      </c>
      <c r="H14" s="1" t="s">
        <v>109</v>
      </c>
    </row>
    <row r="15" spans="1:8" x14ac:dyDescent="0.2">
      <c r="A15" s="1">
        <v>203830</v>
      </c>
      <c r="B15" s="1" t="s">
        <v>374</v>
      </c>
      <c r="C15" s="1" t="s">
        <v>104</v>
      </c>
      <c r="D15" s="1" t="s">
        <v>105</v>
      </c>
      <c r="E15" s="1" t="s">
        <v>106</v>
      </c>
      <c r="F15" s="1" t="s">
        <v>110</v>
      </c>
      <c r="G15" s="1" t="s">
        <v>111</v>
      </c>
      <c r="H15" s="1" t="s">
        <v>109</v>
      </c>
    </row>
    <row r="16" spans="1:8" x14ac:dyDescent="0.2">
      <c r="A16" s="1">
        <v>203830</v>
      </c>
      <c r="B16" s="1" t="s">
        <v>374</v>
      </c>
      <c r="C16" s="1" t="s">
        <v>104</v>
      </c>
      <c r="D16" s="1" t="s">
        <v>105</v>
      </c>
      <c r="E16" s="1" t="s">
        <v>106</v>
      </c>
      <c r="F16" s="1" t="s">
        <v>112</v>
      </c>
      <c r="G16" s="1" t="s">
        <v>113</v>
      </c>
      <c r="H16" s="1" t="s">
        <v>109</v>
      </c>
    </row>
    <row r="17" spans="1:8" x14ac:dyDescent="0.2">
      <c r="A17" s="1">
        <v>203830</v>
      </c>
      <c r="B17" s="1" t="s">
        <v>374</v>
      </c>
      <c r="C17" s="1" t="s">
        <v>104</v>
      </c>
      <c r="D17" s="1" t="s">
        <v>105</v>
      </c>
      <c r="E17" s="1" t="s">
        <v>106</v>
      </c>
      <c r="F17" s="1" t="s">
        <v>114</v>
      </c>
      <c r="G17" s="1" t="s">
        <v>115</v>
      </c>
      <c r="H17" s="1" t="s">
        <v>116</v>
      </c>
    </row>
    <row r="18" spans="1:8" x14ac:dyDescent="0.2">
      <c r="A18" s="1">
        <v>203830</v>
      </c>
      <c r="B18" s="1" t="s">
        <v>374</v>
      </c>
      <c r="C18" s="1" t="s">
        <v>104</v>
      </c>
      <c r="D18" s="1" t="s">
        <v>105</v>
      </c>
      <c r="E18" s="1" t="s">
        <v>106</v>
      </c>
      <c r="F18" s="1" t="s">
        <v>117</v>
      </c>
      <c r="G18" s="1" t="s">
        <v>118</v>
      </c>
      <c r="H18" s="1" t="s">
        <v>116</v>
      </c>
    </row>
    <row r="19" spans="1:8" x14ac:dyDescent="0.2">
      <c r="A19" s="1">
        <v>203831</v>
      </c>
      <c r="B19" s="1" t="s">
        <v>375</v>
      </c>
      <c r="C19" s="1" t="s">
        <v>120</v>
      </c>
      <c r="D19" s="1" t="s">
        <v>121</v>
      </c>
      <c r="E19" s="1" t="s">
        <v>106</v>
      </c>
      <c r="F19" s="1" t="s">
        <v>88</v>
      </c>
      <c r="G19" s="1" t="s">
        <v>122</v>
      </c>
      <c r="H19" s="1" t="s">
        <v>123</v>
      </c>
    </row>
    <row r="20" spans="1:8" x14ac:dyDescent="0.2">
      <c r="A20" s="1">
        <v>203831</v>
      </c>
      <c r="B20" s="1" t="s">
        <v>375</v>
      </c>
      <c r="C20" s="1" t="s">
        <v>120</v>
      </c>
      <c r="D20" s="1" t="s">
        <v>121</v>
      </c>
      <c r="E20" s="1" t="s">
        <v>106</v>
      </c>
      <c r="F20" s="1" t="s">
        <v>117</v>
      </c>
      <c r="G20" s="1" t="s">
        <v>122</v>
      </c>
      <c r="H20" s="1" t="s">
        <v>124</v>
      </c>
    </row>
    <row r="21" spans="1:8" x14ac:dyDescent="0.2">
      <c r="A21" s="1">
        <v>203831</v>
      </c>
      <c r="B21" s="1" t="s">
        <v>375</v>
      </c>
      <c r="C21" s="1" t="s">
        <v>120</v>
      </c>
      <c r="D21" s="1" t="s">
        <v>121</v>
      </c>
      <c r="E21" s="1" t="s">
        <v>106</v>
      </c>
      <c r="F21" s="1" t="s">
        <v>100</v>
      </c>
      <c r="G21" s="1" t="s">
        <v>122</v>
      </c>
      <c r="H21" s="1" t="s">
        <v>125</v>
      </c>
    </row>
    <row r="22" spans="1:8" x14ac:dyDescent="0.2">
      <c r="A22" s="1">
        <v>203831</v>
      </c>
      <c r="B22" s="1" t="s">
        <v>375</v>
      </c>
      <c r="C22" s="1" t="s">
        <v>120</v>
      </c>
      <c r="D22" s="1" t="s">
        <v>121</v>
      </c>
      <c r="E22" s="1" t="s">
        <v>106</v>
      </c>
      <c r="F22" s="1" t="s">
        <v>114</v>
      </c>
      <c r="G22" s="1" t="s">
        <v>122</v>
      </c>
      <c r="H22" s="1" t="s">
        <v>126</v>
      </c>
    </row>
    <row r="23" spans="1:8" x14ac:dyDescent="0.2">
      <c r="A23" s="1">
        <v>203831</v>
      </c>
      <c r="B23" s="1" t="s">
        <v>375</v>
      </c>
      <c r="C23" s="1" t="s">
        <v>120</v>
      </c>
      <c r="D23" s="1" t="s">
        <v>121</v>
      </c>
      <c r="E23" s="1" t="s">
        <v>106</v>
      </c>
      <c r="F23" s="1" t="s">
        <v>127</v>
      </c>
      <c r="G23" s="1" t="s">
        <v>122</v>
      </c>
      <c r="H23" s="1" t="s">
        <v>128</v>
      </c>
    </row>
    <row r="24" spans="1:8" x14ac:dyDescent="0.2">
      <c r="A24" s="1">
        <v>203831</v>
      </c>
      <c r="B24" s="1" t="s">
        <v>375</v>
      </c>
      <c r="C24" s="1" t="s">
        <v>120</v>
      </c>
      <c r="D24" s="1" t="s">
        <v>121</v>
      </c>
      <c r="E24" s="1" t="s">
        <v>106</v>
      </c>
      <c r="F24" s="1" t="s">
        <v>107</v>
      </c>
      <c r="G24" s="1" t="s">
        <v>122</v>
      </c>
      <c r="H24" s="1" t="s">
        <v>129</v>
      </c>
    </row>
    <row r="25" spans="1:8" x14ac:dyDescent="0.2">
      <c r="A25" s="1">
        <v>203831</v>
      </c>
      <c r="B25" s="1" t="s">
        <v>375</v>
      </c>
      <c r="C25" s="1" t="s">
        <v>120</v>
      </c>
      <c r="D25" s="1" t="s">
        <v>121</v>
      </c>
      <c r="E25" s="1" t="s">
        <v>106</v>
      </c>
      <c r="F25" s="1" t="s">
        <v>130</v>
      </c>
      <c r="G25" s="1" t="s">
        <v>122</v>
      </c>
      <c r="H25" s="1" t="s">
        <v>131</v>
      </c>
    </row>
    <row r="26" spans="1:8" x14ac:dyDescent="0.2">
      <c r="A26" s="1">
        <v>203831</v>
      </c>
      <c r="B26" s="1" t="s">
        <v>375</v>
      </c>
      <c r="C26" s="1" t="s">
        <v>120</v>
      </c>
      <c r="D26" s="1" t="s">
        <v>121</v>
      </c>
      <c r="E26" s="1" t="s">
        <v>106</v>
      </c>
      <c r="F26" s="1" t="s">
        <v>78</v>
      </c>
      <c r="G26" s="1" t="s">
        <v>122</v>
      </c>
      <c r="H26" s="1" t="s">
        <v>132</v>
      </c>
    </row>
    <row r="27" spans="1:8" x14ac:dyDescent="0.2">
      <c r="A27" s="1">
        <v>203863</v>
      </c>
      <c r="B27" s="1" t="s">
        <v>376</v>
      </c>
      <c r="C27" s="1" t="s">
        <v>134</v>
      </c>
      <c r="D27" s="1" t="s">
        <v>135</v>
      </c>
      <c r="E27" s="1" t="s">
        <v>136</v>
      </c>
      <c r="F27" s="1" t="s">
        <v>137</v>
      </c>
      <c r="G27" s="1" t="s">
        <v>138</v>
      </c>
      <c r="H27" s="1" t="s">
        <v>139</v>
      </c>
    </row>
    <row r="28" spans="1:8" x14ac:dyDescent="0.2">
      <c r="A28" s="1">
        <v>203863</v>
      </c>
      <c r="B28" s="1" t="s">
        <v>376</v>
      </c>
      <c r="C28" s="1" t="s">
        <v>134</v>
      </c>
      <c r="D28" s="1" t="s">
        <v>135</v>
      </c>
      <c r="E28" s="1" t="s">
        <v>136</v>
      </c>
      <c r="F28" s="1" t="s">
        <v>110</v>
      </c>
      <c r="G28" s="1" t="s">
        <v>140</v>
      </c>
      <c r="H28" s="1" t="s">
        <v>141</v>
      </c>
    </row>
    <row r="29" spans="1:8" x14ac:dyDescent="0.2">
      <c r="A29" s="1">
        <v>203863</v>
      </c>
      <c r="B29" s="1" t="s">
        <v>376</v>
      </c>
      <c r="C29" s="1" t="s">
        <v>134</v>
      </c>
      <c r="D29" s="1" t="s">
        <v>135</v>
      </c>
      <c r="E29" s="1" t="s">
        <v>136</v>
      </c>
      <c r="F29" s="1" t="s">
        <v>72</v>
      </c>
      <c r="G29" s="1" t="s">
        <v>142</v>
      </c>
      <c r="H29" s="1" t="s">
        <v>143</v>
      </c>
    </row>
    <row r="30" spans="1:8" x14ac:dyDescent="0.2">
      <c r="A30" s="1">
        <v>203863</v>
      </c>
      <c r="B30" s="1" t="s">
        <v>376</v>
      </c>
      <c r="C30" s="1" t="s">
        <v>134</v>
      </c>
      <c r="D30" s="1" t="s">
        <v>135</v>
      </c>
      <c r="E30" s="1" t="s">
        <v>136</v>
      </c>
      <c r="F30" s="1" t="s">
        <v>81</v>
      </c>
      <c r="G30" s="1" t="s">
        <v>144</v>
      </c>
      <c r="H30" s="1" t="s">
        <v>145</v>
      </c>
    </row>
    <row r="31" spans="1:8" x14ac:dyDescent="0.2">
      <c r="A31" s="1">
        <v>203863</v>
      </c>
      <c r="B31" s="1" t="s">
        <v>376</v>
      </c>
      <c r="C31" s="1" t="s">
        <v>134</v>
      </c>
      <c r="D31" s="1" t="s">
        <v>135</v>
      </c>
      <c r="E31" s="1" t="s">
        <v>136</v>
      </c>
      <c r="F31" s="1" t="s">
        <v>146</v>
      </c>
      <c r="G31" s="1" t="s">
        <v>147</v>
      </c>
      <c r="H31" s="1" t="s">
        <v>148</v>
      </c>
    </row>
    <row r="32" spans="1:8" x14ac:dyDescent="0.2">
      <c r="A32" s="1">
        <v>203863</v>
      </c>
      <c r="B32" s="1" t="s">
        <v>376</v>
      </c>
      <c r="C32" s="1" t="s">
        <v>134</v>
      </c>
      <c r="D32" s="1" t="s">
        <v>135</v>
      </c>
      <c r="E32" s="1" t="s">
        <v>136</v>
      </c>
      <c r="F32" s="1" t="s">
        <v>100</v>
      </c>
      <c r="G32" s="1" t="s">
        <v>149</v>
      </c>
      <c r="H32" s="1" t="s">
        <v>150</v>
      </c>
    </row>
    <row r="33" spans="1:8" x14ac:dyDescent="0.2">
      <c r="A33" s="1">
        <v>203863</v>
      </c>
      <c r="B33" s="1" t="s">
        <v>376</v>
      </c>
      <c r="C33" s="1" t="s">
        <v>134</v>
      </c>
      <c r="D33" s="1" t="s">
        <v>135</v>
      </c>
      <c r="E33" s="1" t="s">
        <v>136</v>
      </c>
      <c r="F33" s="1" t="s">
        <v>114</v>
      </c>
      <c r="G33" s="1" t="s">
        <v>151</v>
      </c>
      <c r="H33" s="1" t="s">
        <v>152</v>
      </c>
    </row>
    <row r="34" spans="1:8" x14ac:dyDescent="0.2">
      <c r="A34" s="1">
        <v>203863</v>
      </c>
      <c r="B34" s="1" t="s">
        <v>376</v>
      </c>
      <c r="C34" s="1" t="s">
        <v>134</v>
      </c>
      <c r="D34" s="1" t="s">
        <v>135</v>
      </c>
      <c r="E34" s="1" t="s">
        <v>136</v>
      </c>
      <c r="F34" s="1" t="s">
        <v>72</v>
      </c>
      <c r="G34" s="1" t="s">
        <v>153</v>
      </c>
      <c r="H34" s="1" t="s">
        <v>154</v>
      </c>
    </row>
    <row r="35" spans="1:8" x14ac:dyDescent="0.2">
      <c r="A35" s="1">
        <v>203863</v>
      </c>
      <c r="B35" s="1" t="s">
        <v>376</v>
      </c>
      <c r="C35" s="1" t="s">
        <v>134</v>
      </c>
      <c r="D35" s="1" t="s">
        <v>135</v>
      </c>
      <c r="E35" s="1" t="s">
        <v>136</v>
      </c>
      <c r="F35" s="1" t="s">
        <v>107</v>
      </c>
      <c r="G35" s="1" t="s">
        <v>155</v>
      </c>
    </row>
    <row r="36" spans="1:8" x14ac:dyDescent="0.2">
      <c r="A36" s="1">
        <v>203863</v>
      </c>
      <c r="B36" s="1" t="s">
        <v>376</v>
      </c>
      <c r="C36" s="1" t="s">
        <v>134</v>
      </c>
      <c r="D36" s="1" t="s">
        <v>135</v>
      </c>
      <c r="E36" s="1" t="s">
        <v>136</v>
      </c>
      <c r="F36" s="1" t="s">
        <v>146</v>
      </c>
      <c r="G36" s="1" t="s">
        <v>156</v>
      </c>
      <c r="H36" s="1" t="s">
        <v>157</v>
      </c>
    </row>
    <row r="37" spans="1:8" x14ac:dyDescent="0.2">
      <c r="A37" s="1">
        <v>203863</v>
      </c>
      <c r="B37" s="1" t="s">
        <v>376</v>
      </c>
      <c r="C37" s="1" t="s">
        <v>134</v>
      </c>
      <c r="D37" s="1" t="s">
        <v>135</v>
      </c>
      <c r="E37" s="1" t="s">
        <v>136</v>
      </c>
      <c r="F37" s="1" t="s">
        <v>130</v>
      </c>
      <c r="G37" s="1" t="s">
        <v>158</v>
      </c>
      <c r="H37" s="1" t="s">
        <v>159</v>
      </c>
    </row>
    <row r="38" spans="1:8" x14ac:dyDescent="0.2">
      <c r="A38" s="1">
        <v>203863</v>
      </c>
      <c r="B38" s="1" t="s">
        <v>376</v>
      </c>
      <c r="C38" s="1" t="s">
        <v>134</v>
      </c>
      <c r="D38" s="1" t="s">
        <v>135</v>
      </c>
      <c r="E38" s="1" t="s">
        <v>136</v>
      </c>
      <c r="F38" s="1" t="s">
        <v>160</v>
      </c>
      <c r="G38" s="1" t="s">
        <v>161</v>
      </c>
      <c r="H38" s="1" t="s">
        <v>162</v>
      </c>
    </row>
    <row r="39" spans="1:8" x14ac:dyDescent="0.2">
      <c r="A39" s="1">
        <v>203863</v>
      </c>
      <c r="B39" s="1" t="s">
        <v>376</v>
      </c>
      <c r="C39" s="1" t="s">
        <v>134</v>
      </c>
      <c r="D39" s="1" t="s">
        <v>135</v>
      </c>
      <c r="E39" s="1" t="s">
        <v>136</v>
      </c>
      <c r="F39" s="1" t="s">
        <v>88</v>
      </c>
      <c r="G39" s="1" t="s">
        <v>163</v>
      </c>
      <c r="H39" s="1" t="s">
        <v>164</v>
      </c>
    </row>
    <row r="40" spans="1:8" x14ac:dyDescent="0.2">
      <c r="A40" s="1">
        <v>203863</v>
      </c>
      <c r="B40" s="1" t="s">
        <v>376</v>
      </c>
      <c r="C40" s="1" t="s">
        <v>134</v>
      </c>
      <c r="D40" s="1" t="s">
        <v>135</v>
      </c>
      <c r="E40" s="1" t="s">
        <v>136</v>
      </c>
      <c r="F40" s="1" t="s">
        <v>137</v>
      </c>
      <c r="G40" s="1" t="s">
        <v>165</v>
      </c>
      <c r="H40" s="1" t="s">
        <v>166</v>
      </c>
    </row>
    <row r="41" spans="1:8" x14ac:dyDescent="0.2">
      <c r="A41" s="1">
        <v>203863</v>
      </c>
      <c r="B41" s="1" t="s">
        <v>376</v>
      </c>
      <c r="C41" s="1" t="s">
        <v>134</v>
      </c>
      <c r="D41" s="1" t="s">
        <v>135</v>
      </c>
      <c r="E41" s="1" t="s">
        <v>136</v>
      </c>
      <c r="F41" s="1" t="s">
        <v>137</v>
      </c>
      <c r="G41" s="1" t="s">
        <v>167</v>
      </c>
      <c r="H41" s="1" t="s">
        <v>168</v>
      </c>
    </row>
    <row r="42" spans="1:8" x14ac:dyDescent="0.2">
      <c r="A42" s="1">
        <v>203863</v>
      </c>
      <c r="B42" s="1" t="s">
        <v>376</v>
      </c>
      <c r="C42" s="1" t="s">
        <v>134</v>
      </c>
      <c r="D42" s="1" t="s">
        <v>135</v>
      </c>
      <c r="E42" s="1" t="s">
        <v>136</v>
      </c>
      <c r="F42" s="1" t="s">
        <v>72</v>
      </c>
      <c r="G42" s="1" t="s">
        <v>169</v>
      </c>
      <c r="H42" s="1" t="s">
        <v>170</v>
      </c>
    </row>
    <row r="43" spans="1:8" x14ac:dyDescent="0.2">
      <c r="A43" s="1">
        <v>203863</v>
      </c>
      <c r="B43" s="1" t="s">
        <v>376</v>
      </c>
      <c r="C43" s="1" t="s">
        <v>134</v>
      </c>
      <c r="D43" s="1" t="s">
        <v>135</v>
      </c>
      <c r="E43" s="1" t="s">
        <v>136</v>
      </c>
      <c r="F43" s="1" t="s">
        <v>171</v>
      </c>
      <c r="G43" s="1" t="s">
        <v>172</v>
      </c>
      <c r="H43" s="1" t="s">
        <v>173</v>
      </c>
    </row>
    <row r="44" spans="1:8" x14ac:dyDescent="0.2">
      <c r="A44" s="1">
        <v>203880</v>
      </c>
      <c r="B44" s="1" t="s">
        <v>377</v>
      </c>
      <c r="C44" s="1" t="s">
        <v>175</v>
      </c>
      <c r="D44" s="1" t="s">
        <v>176</v>
      </c>
      <c r="E44" s="1" t="s">
        <v>177</v>
      </c>
      <c r="F44" s="1" t="s">
        <v>146</v>
      </c>
      <c r="G44" s="1" t="s">
        <v>90</v>
      </c>
      <c r="H44" s="1" t="s">
        <v>90</v>
      </c>
    </row>
    <row r="45" spans="1:8" x14ac:dyDescent="0.2">
      <c r="A45" s="1">
        <v>203905</v>
      </c>
      <c r="B45" s="1" t="s">
        <v>378</v>
      </c>
      <c r="C45" s="1" t="s">
        <v>179</v>
      </c>
      <c r="D45" s="1" t="s">
        <v>180</v>
      </c>
      <c r="E45" s="1" t="s">
        <v>106</v>
      </c>
      <c r="F45" s="1" t="s">
        <v>88</v>
      </c>
      <c r="G45" s="1" t="s">
        <v>181</v>
      </c>
      <c r="H45" s="1" t="s">
        <v>181</v>
      </c>
    </row>
    <row r="46" spans="1:8" x14ac:dyDescent="0.2">
      <c r="A46" s="1">
        <v>203928</v>
      </c>
      <c r="B46" s="1" t="s">
        <v>379</v>
      </c>
      <c r="C46" s="1" t="s">
        <v>183</v>
      </c>
      <c r="D46" s="1" t="s">
        <v>184</v>
      </c>
      <c r="E46" s="1" t="s">
        <v>185</v>
      </c>
      <c r="F46" s="1" t="s">
        <v>88</v>
      </c>
      <c r="G46" s="1" t="s">
        <v>186</v>
      </c>
      <c r="H46" s="1" t="s">
        <v>90</v>
      </c>
    </row>
    <row r="47" spans="1:8" x14ac:dyDescent="0.2">
      <c r="A47" s="1">
        <v>203928</v>
      </c>
      <c r="B47" s="1" t="s">
        <v>379</v>
      </c>
      <c r="C47" s="1" t="s">
        <v>183</v>
      </c>
      <c r="D47" s="1" t="s">
        <v>184</v>
      </c>
      <c r="E47" s="1" t="s">
        <v>185</v>
      </c>
      <c r="F47" s="1" t="s">
        <v>187</v>
      </c>
      <c r="G47" s="1" t="s">
        <v>188</v>
      </c>
      <c r="H47" s="1" t="s">
        <v>189</v>
      </c>
    </row>
    <row r="48" spans="1:8" x14ac:dyDescent="0.2">
      <c r="A48" s="1">
        <v>203928</v>
      </c>
      <c r="B48" s="1" t="s">
        <v>379</v>
      </c>
      <c r="C48" s="1" t="s">
        <v>183</v>
      </c>
      <c r="D48" s="1" t="s">
        <v>184</v>
      </c>
      <c r="E48" s="1" t="s">
        <v>185</v>
      </c>
      <c r="F48" s="1" t="s">
        <v>137</v>
      </c>
      <c r="G48" s="1" t="s">
        <v>190</v>
      </c>
    </row>
    <row r="49" spans="1:8" x14ac:dyDescent="0.2">
      <c r="A49" s="1">
        <v>203928</v>
      </c>
      <c r="B49" s="1" t="s">
        <v>379</v>
      </c>
      <c r="C49" s="1" t="s">
        <v>183</v>
      </c>
      <c r="D49" s="1" t="s">
        <v>184</v>
      </c>
      <c r="E49" s="1" t="s">
        <v>185</v>
      </c>
      <c r="F49" s="1" t="s">
        <v>110</v>
      </c>
      <c r="G49" s="1" t="s">
        <v>191</v>
      </c>
    </row>
    <row r="50" spans="1:8" x14ac:dyDescent="0.2">
      <c r="A50" s="1">
        <v>203928</v>
      </c>
      <c r="B50" s="1" t="s">
        <v>379</v>
      </c>
      <c r="C50" s="1" t="s">
        <v>183</v>
      </c>
      <c r="D50" s="1" t="s">
        <v>184</v>
      </c>
      <c r="E50" s="1" t="s">
        <v>185</v>
      </c>
      <c r="F50" s="1" t="s">
        <v>117</v>
      </c>
      <c r="G50" s="1" t="s">
        <v>192</v>
      </c>
      <c r="H50" s="1" t="s">
        <v>193</v>
      </c>
    </row>
    <row r="51" spans="1:8" x14ac:dyDescent="0.2">
      <c r="A51" s="1">
        <v>203928</v>
      </c>
      <c r="B51" s="1" t="s">
        <v>379</v>
      </c>
      <c r="C51" s="1" t="s">
        <v>183</v>
      </c>
      <c r="D51" s="1" t="s">
        <v>184</v>
      </c>
      <c r="E51" s="1" t="s">
        <v>185</v>
      </c>
      <c r="F51" s="1" t="s">
        <v>75</v>
      </c>
      <c r="G51" s="1" t="s">
        <v>194</v>
      </c>
      <c r="H51" s="1" t="s">
        <v>195</v>
      </c>
    </row>
    <row r="52" spans="1:8" x14ac:dyDescent="0.2">
      <c r="A52" s="1">
        <v>203928</v>
      </c>
      <c r="B52" s="1" t="s">
        <v>379</v>
      </c>
      <c r="C52" s="1" t="s">
        <v>183</v>
      </c>
      <c r="D52" s="1" t="s">
        <v>184</v>
      </c>
      <c r="E52" s="1" t="s">
        <v>185</v>
      </c>
      <c r="F52" s="1" t="s">
        <v>100</v>
      </c>
      <c r="G52" s="1" t="s">
        <v>196</v>
      </c>
      <c r="H52" s="1" t="s">
        <v>195</v>
      </c>
    </row>
    <row r="53" spans="1:8" x14ac:dyDescent="0.2">
      <c r="A53" s="1">
        <v>203928</v>
      </c>
      <c r="B53" s="1" t="s">
        <v>379</v>
      </c>
      <c r="C53" s="1" t="s">
        <v>183</v>
      </c>
      <c r="D53" s="1" t="s">
        <v>184</v>
      </c>
      <c r="E53" s="1" t="s">
        <v>185</v>
      </c>
      <c r="F53" s="1" t="s">
        <v>114</v>
      </c>
      <c r="G53" s="1" t="s">
        <v>197</v>
      </c>
    </row>
    <row r="54" spans="1:8" x14ac:dyDescent="0.2">
      <c r="A54" s="1">
        <v>203928</v>
      </c>
      <c r="B54" s="1" t="s">
        <v>379</v>
      </c>
      <c r="C54" s="1" t="s">
        <v>183</v>
      </c>
      <c r="D54" s="1" t="s">
        <v>184</v>
      </c>
      <c r="E54" s="1" t="s">
        <v>185</v>
      </c>
      <c r="F54" s="1" t="s">
        <v>127</v>
      </c>
      <c r="G54" s="1" t="s">
        <v>198</v>
      </c>
      <c r="H54" s="1" t="s">
        <v>199</v>
      </c>
    </row>
    <row r="55" spans="1:8" x14ac:dyDescent="0.2">
      <c r="A55" s="1">
        <v>203928</v>
      </c>
      <c r="B55" s="1" t="s">
        <v>379</v>
      </c>
      <c r="C55" s="1" t="s">
        <v>183</v>
      </c>
      <c r="D55" s="1" t="s">
        <v>184</v>
      </c>
      <c r="E55" s="1" t="s">
        <v>185</v>
      </c>
      <c r="F55" s="1" t="s">
        <v>72</v>
      </c>
      <c r="G55" s="1" t="s">
        <v>200</v>
      </c>
      <c r="H55" s="1" t="s">
        <v>201</v>
      </c>
    </row>
    <row r="56" spans="1:8" x14ac:dyDescent="0.2">
      <c r="A56" s="1">
        <v>203928</v>
      </c>
      <c r="B56" s="1" t="s">
        <v>379</v>
      </c>
      <c r="C56" s="1" t="s">
        <v>183</v>
      </c>
      <c r="D56" s="1" t="s">
        <v>184</v>
      </c>
      <c r="E56" s="1" t="s">
        <v>185</v>
      </c>
      <c r="F56" s="1" t="s">
        <v>112</v>
      </c>
      <c r="G56" s="1" t="s">
        <v>202</v>
      </c>
    </row>
    <row r="57" spans="1:8" x14ac:dyDescent="0.2">
      <c r="A57" s="1">
        <v>203928</v>
      </c>
      <c r="B57" s="1" t="s">
        <v>379</v>
      </c>
      <c r="C57" s="1" t="s">
        <v>183</v>
      </c>
      <c r="D57" s="1" t="s">
        <v>184</v>
      </c>
      <c r="E57" s="1" t="s">
        <v>185</v>
      </c>
      <c r="F57" s="1" t="s">
        <v>203</v>
      </c>
      <c r="G57" s="1" t="s">
        <v>204</v>
      </c>
    </row>
    <row r="58" spans="1:8" x14ac:dyDescent="0.2">
      <c r="A58" s="1">
        <v>203928</v>
      </c>
      <c r="B58" s="1" t="s">
        <v>379</v>
      </c>
      <c r="C58" s="1" t="s">
        <v>183</v>
      </c>
      <c r="D58" s="1" t="s">
        <v>184</v>
      </c>
      <c r="E58" s="1" t="s">
        <v>185</v>
      </c>
      <c r="F58" s="1" t="s">
        <v>107</v>
      </c>
      <c r="G58" s="1" t="s">
        <v>205</v>
      </c>
      <c r="H58" s="1" t="s">
        <v>206</v>
      </c>
    </row>
    <row r="59" spans="1:8" x14ac:dyDescent="0.2">
      <c r="A59" s="1">
        <v>203928</v>
      </c>
      <c r="B59" s="1" t="s">
        <v>379</v>
      </c>
      <c r="C59" s="1" t="s">
        <v>183</v>
      </c>
      <c r="D59" s="1" t="s">
        <v>184</v>
      </c>
      <c r="E59" s="1" t="s">
        <v>185</v>
      </c>
      <c r="F59" s="1" t="s">
        <v>81</v>
      </c>
      <c r="G59" s="1" t="s">
        <v>207</v>
      </c>
      <c r="H59" s="1" t="s">
        <v>208</v>
      </c>
    </row>
    <row r="60" spans="1:8" x14ac:dyDescent="0.2">
      <c r="A60" s="1">
        <v>203928</v>
      </c>
      <c r="B60" s="1" t="s">
        <v>379</v>
      </c>
      <c r="C60" s="1" t="s">
        <v>183</v>
      </c>
      <c r="D60" s="1" t="s">
        <v>184</v>
      </c>
      <c r="E60" s="1" t="s">
        <v>185</v>
      </c>
      <c r="F60" s="1" t="s">
        <v>209</v>
      </c>
      <c r="G60" s="1" t="s">
        <v>210</v>
      </c>
    </row>
    <row r="61" spans="1:8" x14ac:dyDescent="0.2">
      <c r="A61" s="1">
        <v>203928</v>
      </c>
      <c r="B61" s="1" t="s">
        <v>379</v>
      </c>
      <c r="C61" s="1" t="s">
        <v>183</v>
      </c>
      <c r="D61" s="1" t="s">
        <v>184</v>
      </c>
      <c r="E61" s="1" t="s">
        <v>185</v>
      </c>
      <c r="F61" s="1" t="s">
        <v>146</v>
      </c>
      <c r="G61" s="1" t="s">
        <v>211</v>
      </c>
    </row>
    <row r="62" spans="1:8" x14ac:dyDescent="0.2">
      <c r="A62" s="1">
        <v>203928</v>
      </c>
      <c r="B62" s="1" t="s">
        <v>379</v>
      </c>
      <c r="C62" s="1" t="s">
        <v>183</v>
      </c>
      <c r="D62" s="1" t="s">
        <v>184</v>
      </c>
      <c r="E62" s="1" t="s">
        <v>185</v>
      </c>
      <c r="F62" s="1" t="s">
        <v>171</v>
      </c>
      <c r="G62" s="1" t="s">
        <v>212</v>
      </c>
      <c r="H62" s="1" t="s">
        <v>213</v>
      </c>
    </row>
    <row r="63" spans="1:8" x14ac:dyDescent="0.2">
      <c r="A63" s="1">
        <v>203928</v>
      </c>
      <c r="B63" s="1" t="s">
        <v>379</v>
      </c>
      <c r="C63" s="1" t="s">
        <v>183</v>
      </c>
      <c r="D63" s="1" t="s">
        <v>184</v>
      </c>
      <c r="E63" s="1" t="s">
        <v>185</v>
      </c>
      <c r="F63" s="1" t="s">
        <v>130</v>
      </c>
      <c r="G63" s="1" t="s">
        <v>214</v>
      </c>
    </row>
    <row r="64" spans="1:8" x14ac:dyDescent="0.2">
      <c r="A64" s="1">
        <v>203928</v>
      </c>
      <c r="B64" s="1" t="s">
        <v>379</v>
      </c>
      <c r="C64" s="1" t="s">
        <v>183</v>
      </c>
      <c r="D64" s="1" t="s">
        <v>184</v>
      </c>
      <c r="E64" s="1" t="s">
        <v>185</v>
      </c>
      <c r="F64" s="1" t="s">
        <v>215</v>
      </c>
      <c r="G64" s="1" t="s">
        <v>216</v>
      </c>
      <c r="H64" s="1" t="s">
        <v>217</v>
      </c>
    </row>
    <row r="65" spans="1:8" x14ac:dyDescent="0.2">
      <c r="A65" s="1">
        <v>203928</v>
      </c>
      <c r="B65" s="1" t="s">
        <v>379</v>
      </c>
      <c r="C65" s="1" t="s">
        <v>183</v>
      </c>
      <c r="D65" s="1" t="s">
        <v>184</v>
      </c>
      <c r="E65" s="1" t="s">
        <v>185</v>
      </c>
      <c r="F65" s="1" t="s">
        <v>78</v>
      </c>
      <c r="G65" s="1" t="s">
        <v>218</v>
      </c>
    </row>
    <row r="66" spans="1:8" x14ac:dyDescent="0.2">
      <c r="A66" s="1">
        <v>203937</v>
      </c>
      <c r="B66" s="1" t="s">
        <v>380</v>
      </c>
      <c r="C66" s="1" t="s">
        <v>220</v>
      </c>
      <c r="D66" s="1" t="s">
        <v>221</v>
      </c>
      <c r="E66" s="1" t="s">
        <v>222</v>
      </c>
      <c r="F66" s="1" t="s">
        <v>146</v>
      </c>
      <c r="G66" s="1" t="s">
        <v>223</v>
      </c>
      <c r="H66" s="1" t="s">
        <v>224</v>
      </c>
    </row>
    <row r="67" spans="1:8" x14ac:dyDescent="0.2">
      <c r="A67" s="1">
        <v>203937</v>
      </c>
      <c r="B67" s="1" t="s">
        <v>380</v>
      </c>
      <c r="C67" s="1" t="s">
        <v>220</v>
      </c>
      <c r="D67" s="1" t="s">
        <v>221</v>
      </c>
      <c r="E67" s="1" t="s">
        <v>222</v>
      </c>
      <c r="F67" s="1" t="s">
        <v>146</v>
      </c>
      <c r="G67" s="1" t="s">
        <v>225</v>
      </c>
      <c r="H67" s="1" t="s">
        <v>226</v>
      </c>
    </row>
    <row r="68" spans="1:8" x14ac:dyDescent="0.2">
      <c r="A68" s="1">
        <v>203937</v>
      </c>
      <c r="B68" s="1" t="s">
        <v>380</v>
      </c>
      <c r="C68" s="1" t="s">
        <v>220</v>
      </c>
      <c r="D68" s="1" t="s">
        <v>221</v>
      </c>
      <c r="E68" s="1" t="s">
        <v>222</v>
      </c>
      <c r="F68" s="1" t="s">
        <v>146</v>
      </c>
      <c r="G68" s="1" t="s">
        <v>227</v>
      </c>
      <c r="H68" s="1" t="s">
        <v>228</v>
      </c>
    </row>
    <row r="69" spans="1:8" x14ac:dyDescent="0.2">
      <c r="A69" s="1">
        <v>203939</v>
      </c>
      <c r="B69" s="1" t="s">
        <v>381</v>
      </c>
      <c r="C69" s="1" t="s">
        <v>230</v>
      </c>
      <c r="D69" s="1" t="s">
        <v>231</v>
      </c>
      <c r="E69" s="1" t="s">
        <v>232</v>
      </c>
      <c r="F69" s="1" t="s">
        <v>72</v>
      </c>
      <c r="G69" s="1" t="s">
        <v>233</v>
      </c>
      <c r="H69" s="1" t="s">
        <v>234</v>
      </c>
    </row>
    <row r="70" spans="1:8" x14ac:dyDescent="0.2">
      <c r="A70" s="1">
        <v>203939</v>
      </c>
      <c r="B70" s="1" t="s">
        <v>381</v>
      </c>
      <c r="C70" s="1" t="s">
        <v>230</v>
      </c>
      <c r="D70" s="1" t="s">
        <v>231</v>
      </c>
      <c r="E70" s="1" t="s">
        <v>232</v>
      </c>
      <c r="F70" s="1" t="s">
        <v>72</v>
      </c>
      <c r="G70" s="1" t="s">
        <v>235</v>
      </c>
      <c r="H70" s="1" t="s">
        <v>236</v>
      </c>
    </row>
    <row r="71" spans="1:8" x14ac:dyDescent="0.2">
      <c r="A71" s="1">
        <v>203945</v>
      </c>
      <c r="B71" s="1" t="s">
        <v>382</v>
      </c>
      <c r="C71" s="1" t="s">
        <v>238</v>
      </c>
      <c r="D71" s="1" t="s">
        <v>239</v>
      </c>
      <c r="E71" s="1" t="s">
        <v>240</v>
      </c>
      <c r="F71" s="1" t="s">
        <v>72</v>
      </c>
      <c r="G71" s="1" t="s">
        <v>241</v>
      </c>
      <c r="H71" s="1" t="s">
        <v>242</v>
      </c>
    </row>
    <row r="72" spans="1:8" x14ac:dyDescent="0.2">
      <c r="A72" s="1">
        <v>204005</v>
      </c>
      <c r="B72" s="1" t="s">
        <v>383</v>
      </c>
      <c r="C72" s="1" t="s">
        <v>244</v>
      </c>
      <c r="D72" s="1" t="s">
        <v>245</v>
      </c>
      <c r="E72" s="1" t="s">
        <v>246</v>
      </c>
      <c r="F72" s="1" t="s">
        <v>117</v>
      </c>
      <c r="G72" s="1" t="s">
        <v>247</v>
      </c>
      <c r="H72" s="1" t="s">
        <v>247</v>
      </c>
    </row>
    <row r="73" spans="1:8" x14ac:dyDescent="0.2">
      <c r="A73" s="1">
        <v>204005</v>
      </c>
      <c r="B73" s="1" t="s">
        <v>383</v>
      </c>
      <c r="C73" s="1" t="s">
        <v>244</v>
      </c>
      <c r="D73" s="1" t="s">
        <v>245</v>
      </c>
      <c r="E73" s="1" t="s">
        <v>246</v>
      </c>
      <c r="F73" s="1" t="s">
        <v>75</v>
      </c>
      <c r="G73" s="1" t="s">
        <v>248</v>
      </c>
      <c r="H73" s="1" t="s">
        <v>248</v>
      </c>
    </row>
    <row r="74" spans="1:8" x14ac:dyDescent="0.2">
      <c r="A74" s="1">
        <v>204005</v>
      </c>
      <c r="B74" s="1" t="s">
        <v>383</v>
      </c>
      <c r="C74" s="1" t="s">
        <v>244</v>
      </c>
      <c r="D74" s="1" t="s">
        <v>245</v>
      </c>
      <c r="E74" s="1" t="s">
        <v>246</v>
      </c>
      <c r="F74" s="1" t="s">
        <v>100</v>
      </c>
      <c r="G74" s="1" t="s">
        <v>249</v>
      </c>
      <c r="H74" s="1" t="s">
        <v>249</v>
      </c>
    </row>
    <row r="75" spans="1:8" x14ac:dyDescent="0.2">
      <c r="A75" s="1">
        <v>204005</v>
      </c>
      <c r="B75" s="1" t="s">
        <v>383</v>
      </c>
      <c r="C75" s="1" t="s">
        <v>244</v>
      </c>
      <c r="D75" s="1" t="s">
        <v>245</v>
      </c>
      <c r="E75" s="1" t="s">
        <v>246</v>
      </c>
      <c r="F75" s="1" t="s">
        <v>215</v>
      </c>
      <c r="G75" s="1" t="s">
        <v>250</v>
      </c>
      <c r="H75" s="1" t="s">
        <v>250</v>
      </c>
    </row>
    <row r="76" spans="1:8" x14ac:dyDescent="0.2">
      <c r="A76" s="1">
        <v>204005</v>
      </c>
      <c r="B76" s="1" t="s">
        <v>383</v>
      </c>
      <c r="C76" s="1" t="s">
        <v>244</v>
      </c>
      <c r="D76" s="1" t="s">
        <v>245</v>
      </c>
      <c r="E76" s="1" t="s">
        <v>246</v>
      </c>
      <c r="F76" s="1" t="s">
        <v>130</v>
      </c>
      <c r="G76" s="1" t="s">
        <v>251</v>
      </c>
      <c r="H76" s="1" t="s">
        <v>251</v>
      </c>
    </row>
    <row r="77" spans="1:8" x14ac:dyDescent="0.2">
      <c r="A77" s="1">
        <v>204013</v>
      </c>
      <c r="B77" s="1" t="s">
        <v>384</v>
      </c>
      <c r="C77" s="1" t="s">
        <v>253</v>
      </c>
      <c r="D77" s="1" t="s">
        <v>254</v>
      </c>
      <c r="E77" s="1" t="s">
        <v>106</v>
      </c>
      <c r="F77" s="1" t="s">
        <v>72</v>
      </c>
      <c r="G77" s="1" t="s">
        <v>90</v>
      </c>
      <c r="H77" s="1" t="s">
        <v>90</v>
      </c>
    </row>
    <row r="78" spans="1:8" x14ac:dyDescent="0.2">
      <c r="A78" s="1">
        <v>204033</v>
      </c>
      <c r="B78" s="1" t="s">
        <v>385</v>
      </c>
      <c r="C78" s="1" t="s">
        <v>256</v>
      </c>
      <c r="D78" s="1" t="s">
        <v>257</v>
      </c>
      <c r="E78" s="1" t="s">
        <v>258</v>
      </c>
      <c r="F78" s="1" t="s">
        <v>187</v>
      </c>
      <c r="G78" s="1" t="s">
        <v>259</v>
      </c>
      <c r="H78" s="1" t="s">
        <v>260</v>
      </c>
    </row>
    <row r="79" spans="1:8" x14ac:dyDescent="0.2">
      <c r="A79" s="1">
        <v>204084</v>
      </c>
      <c r="B79" s="1" t="s">
        <v>386</v>
      </c>
      <c r="C79" s="1" t="s">
        <v>253</v>
      </c>
      <c r="D79" s="1" t="s">
        <v>254</v>
      </c>
      <c r="E79" s="1" t="s">
        <v>106</v>
      </c>
      <c r="F79" s="1" t="s">
        <v>72</v>
      </c>
      <c r="G79" s="1" t="s">
        <v>90</v>
      </c>
      <c r="H79" s="1" t="s">
        <v>90</v>
      </c>
    </row>
    <row r="80" spans="1:8" x14ac:dyDescent="0.2">
      <c r="A80" s="1">
        <v>204110</v>
      </c>
      <c r="B80" s="1" t="s">
        <v>387</v>
      </c>
      <c r="C80" s="1" t="s">
        <v>263</v>
      </c>
      <c r="D80" s="1" t="s">
        <v>264</v>
      </c>
      <c r="E80" s="1" t="s">
        <v>265</v>
      </c>
      <c r="F80" s="1" t="s">
        <v>171</v>
      </c>
      <c r="G80" s="1" t="s">
        <v>266</v>
      </c>
      <c r="H80" s="1" t="s">
        <v>267</v>
      </c>
    </row>
    <row r="81" spans="1:8" x14ac:dyDescent="0.2">
      <c r="A81" s="1">
        <v>204110</v>
      </c>
      <c r="B81" s="1" t="s">
        <v>387</v>
      </c>
      <c r="C81" s="1" t="s">
        <v>263</v>
      </c>
      <c r="D81" s="1" t="s">
        <v>264</v>
      </c>
      <c r="E81" s="1" t="s">
        <v>265</v>
      </c>
      <c r="F81" s="1" t="s">
        <v>107</v>
      </c>
      <c r="G81" s="1" t="s">
        <v>268</v>
      </c>
      <c r="H81" s="1" t="s">
        <v>269</v>
      </c>
    </row>
    <row r="82" spans="1:8" x14ac:dyDescent="0.2">
      <c r="A82" s="1">
        <v>204113</v>
      </c>
      <c r="B82" s="1" t="s">
        <v>388</v>
      </c>
      <c r="C82" s="1" t="s">
        <v>271</v>
      </c>
      <c r="D82" s="1" t="s">
        <v>272</v>
      </c>
      <c r="E82" s="1" t="s">
        <v>273</v>
      </c>
      <c r="F82" s="1" t="s">
        <v>209</v>
      </c>
      <c r="G82" s="1" t="s">
        <v>274</v>
      </c>
      <c r="H82" s="1" t="s">
        <v>90</v>
      </c>
    </row>
    <row r="83" spans="1:8" x14ac:dyDescent="0.2">
      <c r="A83" s="1">
        <v>204113</v>
      </c>
      <c r="B83" s="1" t="s">
        <v>388</v>
      </c>
      <c r="C83" s="1" t="s">
        <v>271</v>
      </c>
      <c r="D83" s="1" t="s">
        <v>272</v>
      </c>
      <c r="E83" s="1" t="s">
        <v>273</v>
      </c>
      <c r="F83" s="1" t="s">
        <v>187</v>
      </c>
      <c r="G83" s="1" t="s">
        <v>275</v>
      </c>
      <c r="H83" s="1" t="s">
        <v>276</v>
      </c>
    </row>
    <row r="84" spans="1:8" x14ac:dyDescent="0.2">
      <c r="A84" s="1">
        <v>204113</v>
      </c>
      <c r="B84" s="1" t="s">
        <v>388</v>
      </c>
      <c r="C84" s="1" t="s">
        <v>271</v>
      </c>
      <c r="D84" s="1" t="s">
        <v>272</v>
      </c>
      <c r="E84" s="1" t="s">
        <v>273</v>
      </c>
      <c r="F84" s="1" t="s">
        <v>75</v>
      </c>
      <c r="G84" s="1" t="s">
        <v>277</v>
      </c>
      <c r="H84" s="1" t="s">
        <v>278</v>
      </c>
    </row>
    <row r="85" spans="1:8" x14ac:dyDescent="0.2">
      <c r="A85" s="1">
        <v>204113</v>
      </c>
      <c r="B85" s="1" t="s">
        <v>388</v>
      </c>
      <c r="C85" s="1" t="s">
        <v>271</v>
      </c>
      <c r="D85" s="1" t="s">
        <v>272</v>
      </c>
      <c r="E85" s="1" t="s">
        <v>273</v>
      </c>
      <c r="F85" s="1" t="s">
        <v>130</v>
      </c>
      <c r="G85" s="1" t="s">
        <v>279</v>
      </c>
      <c r="H85" s="1" t="s">
        <v>280</v>
      </c>
    </row>
    <row r="86" spans="1:8" x14ac:dyDescent="0.2">
      <c r="A86" s="1">
        <v>204113</v>
      </c>
      <c r="B86" s="1" t="s">
        <v>388</v>
      </c>
      <c r="C86" s="1" t="s">
        <v>271</v>
      </c>
      <c r="D86" s="1" t="s">
        <v>272</v>
      </c>
      <c r="E86" s="1" t="s">
        <v>273</v>
      </c>
      <c r="F86" s="1" t="s">
        <v>171</v>
      </c>
      <c r="G86" s="1" t="s">
        <v>281</v>
      </c>
      <c r="H86" s="1" t="s">
        <v>282</v>
      </c>
    </row>
    <row r="87" spans="1:8" x14ac:dyDescent="0.2">
      <c r="A87" s="1">
        <v>204113</v>
      </c>
      <c r="B87" s="1" t="s">
        <v>388</v>
      </c>
      <c r="C87" s="1" t="s">
        <v>271</v>
      </c>
      <c r="D87" s="1" t="s">
        <v>272</v>
      </c>
      <c r="E87" s="1" t="s">
        <v>273</v>
      </c>
      <c r="F87" s="1" t="s">
        <v>112</v>
      </c>
      <c r="G87" s="1" t="s">
        <v>283</v>
      </c>
      <c r="H87" s="1" t="s">
        <v>284</v>
      </c>
    </row>
    <row r="88" spans="1:8" x14ac:dyDescent="0.2">
      <c r="A88" s="1">
        <v>204113</v>
      </c>
      <c r="B88" s="1" t="s">
        <v>388</v>
      </c>
      <c r="C88" s="1" t="s">
        <v>271</v>
      </c>
      <c r="D88" s="1" t="s">
        <v>272</v>
      </c>
      <c r="E88" s="1" t="s">
        <v>273</v>
      </c>
      <c r="F88" s="1" t="s">
        <v>187</v>
      </c>
      <c r="G88" s="1" t="s">
        <v>285</v>
      </c>
      <c r="H88" s="1" t="s">
        <v>286</v>
      </c>
    </row>
    <row r="89" spans="1:8" x14ac:dyDescent="0.2">
      <c r="A89" s="1">
        <v>204113</v>
      </c>
      <c r="B89" s="1" t="s">
        <v>388</v>
      </c>
      <c r="C89" s="1" t="s">
        <v>271</v>
      </c>
      <c r="D89" s="1" t="s">
        <v>272</v>
      </c>
      <c r="E89" s="1" t="s">
        <v>273</v>
      </c>
      <c r="F89" s="1" t="s">
        <v>209</v>
      </c>
      <c r="G89" s="1" t="s">
        <v>287</v>
      </c>
    </row>
    <row r="90" spans="1:8" x14ac:dyDescent="0.2">
      <c r="A90" s="1">
        <v>204126</v>
      </c>
      <c r="B90" s="1" t="s">
        <v>389</v>
      </c>
      <c r="C90" s="1" t="s">
        <v>289</v>
      </c>
      <c r="D90" s="1" t="s">
        <v>290</v>
      </c>
      <c r="E90" s="1" t="s">
        <v>291</v>
      </c>
      <c r="F90" s="1" t="s">
        <v>171</v>
      </c>
      <c r="G90" s="1" t="s">
        <v>292</v>
      </c>
      <c r="H90" s="1" t="s">
        <v>90</v>
      </c>
    </row>
    <row r="91" spans="1:8" x14ac:dyDescent="0.2">
      <c r="A91" s="1">
        <v>204126</v>
      </c>
      <c r="B91" s="1" t="s">
        <v>389</v>
      </c>
      <c r="C91" s="1" t="s">
        <v>289</v>
      </c>
      <c r="D91" s="1" t="s">
        <v>290</v>
      </c>
      <c r="E91" s="1" t="s">
        <v>291</v>
      </c>
      <c r="F91" s="1" t="s">
        <v>78</v>
      </c>
      <c r="G91" s="1" t="s">
        <v>293</v>
      </c>
      <c r="H91" s="1" t="s">
        <v>90</v>
      </c>
    </row>
    <row r="92" spans="1:8" x14ac:dyDescent="0.2">
      <c r="A92" s="1">
        <v>204126</v>
      </c>
      <c r="B92" s="1" t="s">
        <v>389</v>
      </c>
      <c r="C92" s="1" t="s">
        <v>289</v>
      </c>
      <c r="D92" s="1" t="s">
        <v>290</v>
      </c>
      <c r="E92" s="1" t="s">
        <v>291</v>
      </c>
      <c r="F92" s="1" t="s">
        <v>72</v>
      </c>
      <c r="G92" s="1" t="s">
        <v>294</v>
      </c>
      <c r="H92" s="1" t="s">
        <v>90</v>
      </c>
    </row>
    <row r="93" spans="1:8" x14ac:dyDescent="0.2">
      <c r="A93" s="1">
        <v>204139</v>
      </c>
      <c r="B93" s="1" t="s">
        <v>390</v>
      </c>
      <c r="C93" s="1" t="s">
        <v>296</v>
      </c>
      <c r="D93" s="1" t="s">
        <v>297</v>
      </c>
      <c r="E93" s="1" t="s">
        <v>298</v>
      </c>
      <c r="F93" s="1" t="s">
        <v>72</v>
      </c>
      <c r="G93" s="1" t="s">
        <v>299</v>
      </c>
      <c r="H93" s="1" t="s">
        <v>300</v>
      </c>
    </row>
    <row r="94" spans="1:8" x14ac:dyDescent="0.2">
      <c r="A94" s="1">
        <v>204139</v>
      </c>
      <c r="B94" s="1" t="s">
        <v>390</v>
      </c>
      <c r="C94" s="1" t="s">
        <v>296</v>
      </c>
      <c r="D94" s="1" t="s">
        <v>297</v>
      </c>
      <c r="E94" s="1" t="s">
        <v>298</v>
      </c>
      <c r="F94" s="1" t="s">
        <v>81</v>
      </c>
      <c r="G94" s="1" t="s">
        <v>301</v>
      </c>
      <c r="H94" s="1" t="s">
        <v>302</v>
      </c>
    </row>
    <row r="95" spans="1:8" x14ac:dyDescent="0.2">
      <c r="A95" s="1">
        <v>204152</v>
      </c>
      <c r="B95" s="1" t="s">
        <v>391</v>
      </c>
      <c r="C95" s="1" t="s">
        <v>304</v>
      </c>
      <c r="D95" s="1" t="s">
        <v>305</v>
      </c>
      <c r="E95" s="1" t="s">
        <v>305</v>
      </c>
      <c r="F95" s="1" t="s">
        <v>72</v>
      </c>
      <c r="G95" s="1" t="s">
        <v>306</v>
      </c>
      <c r="H95" s="1" t="s">
        <v>307</v>
      </c>
    </row>
    <row r="96" spans="1:8" x14ac:dyDescent="0.2">
      <c r="A96" s="1">
        <v>204152</v>
      </c>
      <c r="B96" s="1" t="s">
        <v>391</v>
      </c>
      <c r="C96" s="1" t="s">
        <v>304</v>
      </c>
      <c r="D96" s="1" t="s">
        <v>305</v>
      </c>
      <c r="E96" s="1" t="s">
        <v>305</v>
      </c>
      <c r="F96" s="1" t="s">
        <v>117</v>
      </c>
      <c r="G96" s="1" t="s">
        <v>308</v>
      </c>
      <c r="H96" s="1" t="s">
        <v>307</v>
      </c>
    </row>
    <row r="97" spans="1:8" x14ac:dyDescent="0.2">
      <c r="A97" s="1">
        <v>204152</v>
      </c>
      <c r="B97" s="1" t="s">
        <v>391</v>
      </c>
      <c r="C97" s="1" t="s">
        <v>304</v>
      </c>
      <c r="D97" s="1" t="s">
        <v>305</v>
      </c>
      <c r="E97" s="1" t="s">
        <v>305</v>
      </c>
      <c r="F97" s="1" t="s">
        <v>88</v>
      </c>
      <c r="G97" s="1" t="s">
        <v>309</v>
      </c>
      <c r="H97" s="1" t="s">
        <v>307</v>
      </c>
    </row>
    <row r="98" spans="1:8" x14ac:dyDescent="0.2">
      <c r="A98" s="1">
        <v>204152</v>
      </c>
      <c r="B98" s="1" t="s">
        <v>391</v>
      </c>
      <c r="C98" s="1" t="s">
        <v>304</v>
      </c>
      <c r="D98" s="1" t="s">
        <v>305</v>
      </c>
      <c r="E98" s="1" t="s">
        <v>305</v>
      </c>
      <c r="F98" s="1" t="s">
        <v>130</v>
      </c>
      <c r="G98" s="1" t="s">
        <v>310</v>
      </c>
    </row>
    <row r="99" spans="1:8" x14ac:dyDescent="0.2">
      <c r="A99" s="1">
        <v>204179</v>
      </c>
      <c r="B99" s="1" t="s">
        <v>392</v>
      </c>
      <c r="C99" s="1" t="s">
        <v>312</v>
      </c>
      <c r="D99" s="1" t="s">
        <v>313</v>
      </c>
      <c r="E99" s="1" t="s">
        <v>314</v>
      </c>
      <c r="F99" s="1" t="s">
        <v>81</v>
      </c>
      <c r="G99" s="1" t="s">
        <v>315</v>
      </c>
      <c r="H99" s="1" t="s">
        <v>316</v>
      </c>
    </row>
    <row r="100" spans="1:8" x14ac:dyDescent="0.2">
      <c r="A100" s="1">
        <v>204180</v>
      </c>
      <c r="B100" s="1" t="s">
        <v>393</v>
      </c>
      <c r="C100" s="1" t="s">
        <v>318</v>
      </c>
      <c r="D100" s="1" t="s">
        <v>319</v>
      </c>
      <c r="E100" s="1" t="s">
        <v>320</v>
      </c>
      <c r="F100" s="1" t="s">
        <v>137</v>
      </c>
      <c r="G100" s="1" t="s">
        <v>321</v>
      </c>
      <c r="H100" s="1" t="s">
        <v>322</v>
      </c>
    </row>
    <row r="101" spans="1:8" x14ac:dyDescent="0.2">
      <c r="A101" s="1">
        <v>204180</v>
      </c>
      <c r="B101" s="1" t="s">
        <v>393</v>
      </c>
      <c r="C101" s="1" t="s">
        <v>318</v>
      </c>
      <c r="D101" s="1" t="s">
        <v>319</v>
      </c>
      <c r="E101" s="1" t="s">
        <v>320</v>
      </c>
      <c r="F101" s="1" t="s">
        <v>117</v>
      </c>
      <c r="G101" s="1" t="s">
        <v>323</v>
      </c>
      <c r="H101" s="1" t="s">
        <v>324</v>
      </c>
    </row>
    <row r="102" spans="1:8" x14ac:dyDescent="0.2">
      <c r="A102" s="1">
        <v>204180</v>
      </c>
      <c r="B102" s="1" t="s">
        <v>393</v>
      </c>
      <c r="C102" s="1" t="s">
        <v>318</v>
      </c>
      <c r="D102" s="1" t="s">
        <v>319</v>
      </c>
      <c r="E102" s="1" t="s">
        <v>320</v>
      </c>
      <c r="F102" s="1" t="s">
        <v>75</v>
      </c>
      <c r="G102" s="1" t="s">
        <v>323</v>
      </c>
      <c r="H102" s="1" t="s">
        <v>325</v>
      </c>
    </row>
    <row r="103" spans="1:8" x14ac:dyDescent="0.2">
      <c r="A103" s="1">
        <v>204180</v>
      </c>
      <c r="B103" s="1" t="s">
        <v>393</v>
      </c>
      <c r="C103" s="1" t="s">
        <v>318</v>
      </c>
      <c r="D103" s="1" t="s">
        <v>319</v>
      </c>
      <c r="E103" s="1" t="s">
        <v>320</v>
      </c>
      <c r="F103" s="1" t="s">
        <v>100</v>
      </c>
      <c r="G103" s="1" t="s">
        <v>323</v>
      </c>
      <c r="H103" s="1" t="s">
        <v>326</v>
      </c>
    </row>
    <row r="104" spans="1:8" x14ac:dyDescent="0.2">
      <c r="A104" s="1">
        <v>204180</v>
      </c>
      <c r="B104" s="1" t="s">
        <v>393</v>
      </c>
      <c r="C104" s="1" t="s">
        <v>318</v>
      </c>
      <c r="D104" s="1" t="s">
        <v>319</v>
      </c>
      <c r="E104" s="1" t="s">
        <v>320</v>
      </c>
      <c r="F104" s="1" t="s">
        <v>114</v>
      </c>
      <c r="G104" s="1" t="s">
        <v>323</v>
      </c>
      <c r="H104" s="1" t="s">
        <v>327</v>
      </c>
    </row>
    <row r="105" spans="1:8" x14ac:dyDescent="0.2">
      <c r="A105" s="1">
        <v>204180</v>
      </c>
      <c r="B105" s="1" t="s">
        <v>393</v>
      </c>
      <c r="C105" s="1" t="s">
        <v>318</v>
      </c>
      <c r="D105" s="1" t="s">
        <v>319</v>
      </c>
      <c r="E105" s="1" t="s">
        <v>320</v>
      </c>
      <c r="F105" s="1" t="s">
        <v>127</v>
      </c>
      <c r="G105" s="1" t="s">
        <v>323</v>
      </c>
      <c r="H105" s="1" t="s">
        <v>328</v>
      </c>
    </row>
    <row r="106" spans="1:8" x14ac:dyDescent="0.2">
      <c r="A106" s="1">
        <v>204180</v>
      </c>
      <c r="B106" s="1" t="s">
        <v>393</v>
      </c>
      <c r="C106" s="1" t="s">
        <v>318</v>
      </c>
      <c r="D106" s="1" t="s">
        <v>319</v>
      </c>
      <c r="E106" s="1" t="s">
        <v>320</v>
      </c>
      <c r="F106" s="1" t="s">
        <v>209</v>
      </c>
      <c r="G106" s="1" t="s">
        <v>323</v>
      </c>
      <c r="H106" s="1" t="s">
        <v>329</v>
      </c>
    </row>
    <row r="107" spans="1:8" x14ac:dyDescent="0.2">
      <c r="A107" s="1">
        <v>204199</v>
      </c>
      <c r="B107" s="1" t="s">
        <v>394</v>
      </c>
      <c r="C107" s="1" t="s">
        <v>331</v>
      </c>
      <c r="D107" s="1" t="s">
        <v>332</v>
      </c>
      <c r="E107" s="1" t="s">
        <v>333</v>
      </c>
      <c r="F107" s="1" t="s">
        <v>114</v>
      </c>
      <c r="G107" s="1" t="s">
        <v>334</v>
      </c>
      <c r="H107" s="1" t="s">
        <v>335</v>
      </c>
    </row>
    <row r="108" spans="1:8" x14ac:dyDescent="0.2">
      <c r="A108" s="1">
        <v>204199</v>
      </c>
      <c r="B108" s="1" t="s">
        <v>394</v>
      </c>
      <c r="C108" s="1" t="s">
        <v>331</v>
      </c>
      <c r="D108" s="1" t="s">
        <v>332</v>
      </c>
      <c r="E108" s="1" t="s">
        <v>333</v>
      </c>
      <c r="F108" s="1" t="s">
        <v>78</v>
      </c>
      <c r="G108" s="1" t="s">
        <v>336</v>
      </c>
      <c r="H108" s="1" t="s">
        <v>337</v>
      </c>
    </row>
    <row r="109" spans="1:8" x14ac:dyDescent="0.2">
      <c r="A109" s="1">
        <v>204199</v>
      </c>
      <c r="B109" s="1" t="s">
        <v>394</v>
      </c>
      <c r="C109" s="1" t="s">
        <v>331</v>
      </c>
      <c r="D109" s="1" t="s">
        <v>332</v>
      </c>
      <c r="E109" s="1" t="s">
        <v>333</v>
      </c>
      <c r="F109" s="1" t="s">
        <v>171</v>
      </c>
      <c r="G109" s="1" t="s">
        <v>338</v>
      </c>
      <c r="H109" s="1" t="s">
        <v>337</v>
      </c>
    </row>
    <row r="110" spans="1:8" x14ac:dyDescent="0.2">
      <c r="A110" s="1">
        <v>204199</v>
      </c>
      <c r="B110" s="1" t="s">
        <v>394</v>
      </c>
      <c r="C110" s="1" t="s">
        <v>331</v>
      </c>
      <c r="D110" s="1" t="s">
        <v>332</v>
      </c>
      <c r="E110" s="1" t="s">
        <v>333</v>
      </c>
      <c r="F110" s="1" t="s">
        <v>215</v>
      </c>
      <c r="G110" s="1" t="s">
        <v>339</v>
      </c>
      <c r="H110" s="1" t="s">
        <v>337</v>
      </c>
    </row>
    <row r="111" spans="1:8" x14ac:dyDescent="0.2">
      <c r="A111" s="1">
        <v>204199</v>
      </c>
      <c r="B111" s="1" t="s">
        <v>394</v>
      </c>
      <c r="C111" s="1" t="s">
        <v>331</v>
      </c>
      <c r="D111" s="1" t="s">
        <v>332</v>
      </c>
      <c r="E111" s="1" t="s">
        <v>333</v>
      </c>
      <c r="F111" s="1" t="s">
        <v>114</v>
      </c>
      <c r="G111" s="1" t="s">
        <v>340</v>
      </c>
      <c r="H111" s="1" t="s">
        <v>337</v>
      </c>
    </row>
    <row r="112" spans="1:8" x14ac:dyDescent="0.2">
      <c r="A112" s="1">
        <v>204199</v>
      </c>
      <c r="B112" s="1" t="s">
        <v>394</v>
      </c>
      <c r="C112" s="1" t="s">
        <v>331</v>
      </c>
      <c r="D112" s="1" t="s">
        <v>332</v>
      </c>
      <c r="E112" s="1" t="s">
        <v>333</v>
      </c>
      <c r="F112" s="1" t="s">
        <v>127</v>
      </c>
      <c r="G112" s="1" t="s">
        <v>341</v>
      </c>
      <c r="H112" s="1" t="s">
        <v>337</v>
      </c>
    </row>
    <row r="113" spans="1:8" x14ac:dyDescent="0.2">
      <c r="A113" s="1">
        <v>204199</v>
      </c>
      <c r="B113" s="1" t="s">
        <v>394</v>
      </c>
      <c r="C113" s="1" t="s">
        <v>331</v>
      </c>
      <c r="D113" s="1" t="s">
        <v>332</v>
      </c>
      <c r="E113" s="1" t="s">
        <v>333</v>
      </c>
      <c r="F113" s="1" t="s">
        <v>117</v>
      </c>
      <c r="G113" s="1" t="s">
        <v>342</v>
      </c>
      <c r="H113" s="1" t="s">
        <v>337</v>
      </c>
    </row>
    <row r="114" spans="1:8" x14ac:dyDescent="0.2">
      <c r="A114" s="1">
        <v>204199</v>
      </c>
      <c r="B114" s="1" t="s">
        <v>394</v>
      </c>
      <c r="C114" s="1" t="s">
        <v>331</v>
      </c>
      <c r="D114" s="1" t="s">
        <v>332</v>
      </c>
      <c r="E114" s="1" t="s">
        <v>333</v>
      </c>
      <c r="F114" s="1" t="s">
        <v>114</v>
      </c>
      <c r="G114" s="1" t="s">
        <v>343</v>
      </c>
      <c r="H114" s="1" t="s">
        <v>337</v>
      </c>
    </row>
    <row r="115" spans="1:8" x14ac:dyDescent="0.2">
      <c r="A115" s="1">
        <v>204199</v>
      </c>
      <c r="B115" s="1" t="s">
        <v>394</v>
      </c>
      <c r="C115" s="1" t="s">
        <v>331</v>
      </c>
      <c r="D115" s="1" t="s">
        <v>332</v>
      </c>
      <c r="E115" s="1" t="s">
        <v>333</v>
      </c>
      <c r="F115" s="1" t="s">
        <v>117</v>
      </c>
      <c r="G115" s="1" t="s">
        <v>344</v>
      </c>
      <c r="H115" s="1" t="s">
        <v>345</v>
      </c>
    </row>
    <row r="116" spans="1:8" x14ac:dyDescent="0.2">
      <c r="A116" s="1">
        <v>204199</v>
      </c>
      <c r="B116" s="1" t="s">
        <v>394</v>
      </c>
      <c r="C116" s="1" t="s">
        <v>331</v>
      </c>
      <c r="D116" s="1" t="s">
        <v>332</v>
      </c>
      <c r="E116" s="1" t="s">
        <v>333</v>
      </c>
      <c r="F116" s="1" t="s">
        <v>72</v>
      </c>
      <c r="G116" s="1" t="s">
        <v>346</v>
      </c>
      <c r="H116" s="1" t="s">
        <v>337</v>
      </c>
    </row>
    <row r="117" spans="1:8" x14ac:dyDescent="0.2">
      <c r="A117" s="1">
        <v>204199</v>
      </c>
      <c r="B117" s="1" t="s">
        <v>394</v>
      </c>
      <c r="C117" s="1" t="s">
        <v>331</v>
      </c>
      <c r="D117" s="1" t="s">
        <v>332</v>
      </c>
      <c r="E117" s="1" t="s">
        <v>333</v>
      </c>
      <c r="F117" s="1" t="s">
        <v>81</v>
      </c>
      <c r="G117" s="1" t="s">
        <v>347</v>
      </c>
      <c r="H117" s="1" t="s">
        <v>348</v>
      </c>
    </row>
    <row r="118" spans="1:8" x14ac:dyDescent="0.2">
      <c r="A118" s="1">
        <v>204199</v>
      </c>
      <c r="B118" s="1" t="s">
        <v>394</v>
      </c>
      <c r="C118" s="1" t="s">
        <v>331</v>
      </c>
      <c r="D118" s="1" t="s">
        <v>332</v>
      </c>
      <c r="E118" s="1" t="s">
        <v>333</v>
      </c>
      <c r="F118" s="1" t="s">
        <v>107</v>
      </c>
      <c r="G118" s="1" t="s">
        <v>349</v>
      </c>
      <c r="H118" s="1" t="s">
        <v>337</v>
      </c>
    </row>
    <row r="119" spans="1:8" x14ac:dyDescent="0.2">
      <c r="A119" s="1">
        <v>204199</v>
      </c>
      <c r="B119" s="1" t="s">
        <v>394</v>
      </c>
      <c r="C119" s="1" t="s">
        <v>331</v>
      </c>
      <c r="D119" s="1" t="s">
        <v>332</v>
      </c>
      <c r="E119" s="1" t="s">
        <v>333</v>
      </c>
      <c r="F119" s="1" t="s">
        <v>78</v>
      </c>
      <c r="G119" s="1" t="s">
        <v>350</v>
      </c>
      <c r="H119" s="1" t="s">
        <v>337</v>
      </c>
    </row>
    <row r="120" spans="1:8" x14ac:dyDescent="0.2">
      <c r="A120" s="1">
        <v>204213</v>
      </c>
      <c r="B120" s="1" t="s">
        <v>395</v>
      </c>
      <c r="C120" s="1" t="s">
        <v>352</v>
      </c>
      <c r="D120" s="1" t="s">
        <v>353</v>
      </c>
      <c r="E120" s="1" t="s">
        <v>354</v>
      </c>
      <c r="F120" s="1" t="s">
        <v>107</v>
      </c>
      <c r="G120" s="1" t="s">
        <v>355</v>
      </c>
      <c r="H120" s="1" t="s">
        <v>90</v>
      </c>
    </row>
    <row r="121" spans="1:8" x14ac:dyDescent="0.2">
      <c r="A121" s="1">
        <v>204213</v>
      </c>
      <c r="B121" s="1" t="s">
        <v>395</v>
      </c>
      <c r="C121" s="1" t="s">
        <v>352</v>
      </c>
      <c r="D121" s="1" t="s">
        <v>353</v>
      </c>
      <c r="E121" s="1" t="s">
        <v>354</v>
      </c>
      <c r="F121" s="1" t="s">
        <v>88</v>
      </c>
      <c r="G121" s="1" t="s">
        <v>356</v>
      </c>
      <c r="H121" s="1" t="s">
        <v>90</v>
      </c>
    </row>
    <row r="122" spans="1:8" x14ac:dyDescent="0.2">
      <c r="A122" s="1">
        <v>204213</v>
      </c>
      <c r="B122" s="1" t="s">
        <v>395</v>
      </c>
      <c r="C122" s="1" t="s">
        <v>352</v>
      </c>
      <c r="D122" s="1" t="s">
        <v>353</v>
      </c>
      <c r="E122" s="1" t="s">
        <v>354</v>
      </c>
      <c r="F122" s="1" t="s">
        <v>137</v>
      </c>
      <c r="G122" s="1" t="s">
        <v>356</v>
      </c>
      <c r="H122" s="1" t="s">
        <v>90</v>
      </c>
    </row>
    <row r="123" spans="1:8" x14ac:dyDescent="0.2">
      <c r="A123" s="1">
        <v>204213</v>
      </c>
      <c r="B123" s="1" t="s">
        <v>395</v>
      </c>
      <c r="C123" s="1" t="s">
        <v>352</v>
      </c>
      <c r="D123" s="1" t="s">
        <v>353</v>
      </c>
      <c r="E123" s="1" t="s">
        <v>354</v>
      </c>
      <c r="F123" s="1" t="s">
        <v>117</v>
      </c>
      <c r="G123" s="1" t="s">
        <v>357</v>
      </c>
      <c r="H123" s="1" t="s">
        <v>90</v>
      </c>
    </row>
    <row r="124" spans="1:8" x14ac:dyDescent="0.2">
      <c r="A124" s="1">
        <v>204213</v>
      </c>
      <c r="B124" s="1" t="s">
        <v>395</v>
      </c>
      <c r="C124" s="1" t="s">
        <v>352</v>
      </c>
      <c r="D124" s="1" t="s">
        <v>353</v>
      </c>
      <c r="E124" s="1" t="s">
        <v>354</v>
      </c>
      <c r="F124" s="1" t="s">
        <v>114</v>
      </c>
      <c r="G124" s="1" t="s">
        <v>358</v>
      </c>
      <c r="H124" s="1" t="s">
        <v>90</v>
      </c>
    </row>
    <row r="125" spans="1:8" x14ac:dyDescent="0.2">
      <c r="A125" s="1">
        <v>204213</v>
      </c>
      <c r="B125" s="1" t="s">
        <v>395</v>
      </c>
      <c r="C125" s="1" t="s">
        <v>352</v>
      </c>
      <c r="D125" s="1" t="s">
        <v>353</v>
      </c>
      <c r="E125" s="1" t="s">
        <v>354</v>
      </c>
      <c r="F125" s="1" t="s">
        <v>127</v>
      </c>
      <c r="G125" s="1" t="s">
        <v>359</v>
      </c>
      <c r="H125" s="1" t="s">
        <v>90</v>
      </c>
    </row>
    <row r="126" spans="1:8" x14ac:dyDescent="0.2">
      <c r="A126" s="1">
        <v>204213</v>
      </c>
      <c r="B126" s="1" t="s">
        <v>395</v>
      </c>
      <c r="C126" s="1" t="s">
        <v>352</v>
      </c>
      <c r="D126" s="1" t="s">
        <v>353</v>
      </c>
      <c r="E126" s="1" t="s">
        <v>354</v>
      </c>
      <c r="F126" s="1" t="s">
        <v>112</v>
      </c>
      <c r="G126" s="1" t="s">
        <v>359</v>
      </c>
      <c r="H126" s="1" t="s">
        <v>90</v>
      </c>
    </row>
    <row r="127" spans="1:8" x14ac:dyDescent="0.2">
      <c r="A127" s="1">
        <v>204213</v>
      </c>
      <c r="B127" s="1" t="s">
        <v>395</v>
      </c>
      <c r="C127" s="1" t="s">
        <v>352</v>
      </c>
      <c r="D127" s="1" t="s">
        <v>353</v>
      </c>
      <c r="E127" s="1" t="s">
        <v>354</v>
      </c>
      <c r="F127" s="1" t="s">
        <v>81</v>
      </c>
      <c r="G127" s="1" t="s">
        <v>360</v>
      </c>
      <c r="H127" s="1" t="s">
        <v>90</v>
      </c>
    </row>
    <row r="128" spans="1:8" x14ac:dyDescent="0.2">
      <c r="A128" s="1">
        <v>204213</v>
      </c>
      <c r="B128" s="1" t="s">
        <v>395</v>
      </c>
      <c r="C128" s="1" t="s">
        <v>352</v>
      </c>
      <c r="D128" s="1" t="s">
        <v>353</v>
      </c>
      <c r="E128" s="1" t="s">
        <v>354</v>
      </c>
      <c r="F128" s="1" t="s">
        <v>171</v>
      </c>
      <c r="G128" s="1" t="s">
        <v>361</v>
      </c>
      <c r="H128" s="1" t="s">
        <v>90</v>
      </c>
    </row>
    <row r="129" spans="1:8" x14ac:dyDescent="0.2">
      <c r="A129" s="1">
        <v>204213</v>
      </c>
      <c r="B129" s="1" t="s">
        <v>395</v>
      </c>
      <c r="C129" s="1" t="s">
        <v>352</v>
      </c>
      <c r="D129" s="1" t="s">
        <v>353</v>
      </c>
      <c r="E129" s="1" t="s">
        <v>354</v>
      </c>
      <c r="F129" s="1" t="s">
        <v>130</v>
      </c>
      <c r="G129" s="1" t="s">
        <v>362</v>
      </c>
      <c r="H129" s="1" t="s">
        <v>90</v>
      </c>
    </row>
    <row r="130" spans="1:8" x14ac:dyDescent="0.2">
      <c r="A130" s="1">
        <v>204213</v>
      </c>
      <c r="B130" s="1" t="s">
        <v>395</v>
      </c>
      <c r="C130" s="1" t="s">
        <v>352</v>
      </c>
      <c r="D130" s="1" t="s">
        <v>353</v>
      </c>
      <c r="E130" s="1" t="s">
        <v>354</v>
      </c>
      <c r="F130" s="1" t="s">
        <v>160</v>
      </c>
      <c r="G130" s="1" t="s">
        <v>363</v>
      </c>
      <c r="H130" s="1" t="s">
        <v>90</v>
      </c>
    </row>
    <row r="131" spans="1:8" x14ac:dyDescent="0.2">
      <c r="A131" s="1">
        <v>204213</v>
      </c>
      <c r="B131" s="1" t="s">
        <v>395</v>
      </c>
      <c r="C131" s="1" t="s">
        <v>352</v>
      </c>
      <c r="D131" s="1" t="s">
        <v>353</v>
      </c>
      <c r="E131" s="1" t="s">
        <v>354</v>
      </c>
      <c r="F131" s="1" t="s">
        <v>78</v>
      </c>
      <c r="G131" s="1" t="s">
        <v>364</v>
      </c>
      <c r="H131" s="1" t="s">
        <v>90</v>
      </c>
    </row>
    <row r="132" spans="1:8" x14ac:dyDescent="0.2">
      <c r="A132" s="1">
        <v>204955</v>
      </c>
      <c r="B132" s="1" t="s">
        <v>396</v>
      </c>
      <c r="C132" s="1" t="s">
        <v>366</v>
      </c>
      <c r="D132" s="1" t="s">
        <v>367</v>
      </c>
      <c r="E132" s="1" t="s">
        <v>368</v>
      </c>
      <c r="F132" s="1" t="s">
        <v>215</v>
      </c>
      <c r="G132" s="1" t="s">
        <v>369</v>
      </c>
      <c r="H132" s="1" t="s">
        <v>370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H132"/>
  <sheetViews>
    <sheetView workbookViewId="0">
      <selection activeCell="G76" sqref="G76"/>
    </sheetView>
  </sheetViews>
  <sheetFormatPr baseColWidth="10" defaultRowHeight="15" x14ac:dyDescent="0.2"/>
  <cols>
    <col min="2" max="2" width="11.1640625" style="13" bestFit="1" customWidth="1"/>
    <col min="4" max="4" width="65.5" customWidth="1"/>
    <col min="5" max="5" width="12.5" style="15" bestFit="1" customWidth="1"/>
    <col min="6" max="6" width="35.33203125" customWidth="1"/>
    <col min="7" max="7" width="34.83203125" customWidth="1"/>
    <col min="8" max="8" width="41.1640625" customWidth="1"/>
  </cols>
  <sheetData>
    <row r="1" spans="1:8" s="8" customFormat="1" x14ac:dyDescent="0.2">
      <c r="A1" s="11" t="s">
        <v>398</v>
      </c>
      <c r="B1" s="12" t="s">
        <v>399</v>
      </c>
      <c r="C1" s="11" t="s">
        <v>405</v>
      </c>
      <c r="D1" s="11" t="s">
        <v>400</v>
      </c>
      <c r="E1" s="14" t="s">
        <v>406</v>
      </c>
      <c r="F1" s="11" t="s">
        <v>397</v>
      </c>
      <c r="G1" s="11" t="s">
        <v>401</v>
      </c>
      <c r="H1" s="11" t="s">
        <v>402</v>
      </c>
    </row>
    <row r="2" spans="1:8" hidden="1" x14ac:dyDescent="0.2">
      <c r="A2">
        <f>+Hoja2!A2</f>
        <v>203023</v>
      </c>
      <c r="B2" s="13" t="str">
        <f>+MID(+Hoja2!B2,1,10)</f>
        <v>27/07/2021</v>
      </c>
      <c r="C2">
        <f>+VLOOKUP(D2,DepMaster!$B:$C,2,FALSE)</f>
        <v>956</v>
      </c>
      <c r="D2" t="str">
        <f>+Hoja2!C2</f>
        <v>Gerencia de Diversidades Sexuales e Identidades de Género</v>
      </c>
      <c r="E2" s="15" t="str">
        <f>+MID(Hoja2!F2,1,2)</f>
        <v>10</v>
      </c>
      <c r="F2" t="str">
        <f>+MID(Hoja2!F2,4,20)</f>
        <v>LA CANDELARIA</v>
      </c>
      <c r="G2" t="str">
        <f>+Hoja2!G2</f>
        <v>Acciones de empleabilidad para la población lgbtiq</v>
      </c>
      <c r="H2" t="str">
        <f>+Hoja2!H2</f>
        <v xml:space="preserve">42 personas se articulan a través de la escuela para la inclusión en la formación de cursos de capacitación ( ingles) y acceso a vacantes para empleabilidad.  </v>
      </c>
    </row>
    <row r="3" spans="1:8" hidden="1" x14ac:dyDescent="0.2">
      <c r="A3">
        <f>+Hoja2!A3</f>
        <v>203023</v>
      </c>
      <c r="B3" s="13" t="str">
        <f>+MID(+Hoja2!B3,1,10)</f>
        <v>27/07/2021</v>
      </c>
      <c r="C3">
        <f>+VLOOKUP(D3,DepMaster!$B:$C,2,FALSE)</f>
        <v>956</v>
      </c>
      <c r="D3" t="str">
        <f>+Hoja2!C3</f>
        <v>Gerencia de Diversidades Sexuales e Identidades de Género</v>
      </c>
      <c r="E3" s="15" t="str">
        <f>+MID(Hoja2!F3,1,2)</f>
        <v>06</v>
      </c>
      <c r="F3" t="str">
        <f>+MID(Hoja2!F3,4,20)</f>
        <v>DOCE DE OCTUBRE</v>
      </c>
      <c r="G3" t="str">
        <f>+Hoja2!G3</f>
        <v>Articulación con la fundación RASA en el acompañamiento a población VIH</v>
      </c>
      <c r="H3" t="str">
        <f>+Hoja2!H3</f>
        <v xml:space="preserve">Se implementan acciones de acompañamiento a personas VIH positivos y a la corporación en el trabajo que ejercen. </v>
      </c>
    </row>
    <row r="4" spans="1:8" hidden="1" x14ac:dyDescent="0.2">
      <c r="A4">
        <f>+Hoja2!A4</f>
        <v>203023</v>
      </c>
      <c r="B4" s="13" t="str">
        <f>+MID(+Hoja2!B4,1,10)</f>
        <v>27/07/2021</v>
      </c>
      <c r="C4">
        <f>+VLOOKUP(D4,DepMaster!$B:$C,2,FALSE)</f>
        <v>956</v>
      </c>
      <c r="D4" t="str">
        <f>+Hoja2!C4</f>
        <v>Gerencia de Diversidades Sexuales e Identidades de Género</v>
      </c>
      <c r="E4" s="15" t="str">
        <f>+MID(Hoja2!F4,1,2)</f>
        <v>90</v>
      </c>
      <c r="F4" t="str">
        <f>+MID(Hoja2!F4,4,20)</f>
        <v>SANTA ELENA</v>
      </c>
      <c r="G4" t="str">
        <f>+Hoja2!G4</f>
        <v>Articulación con una de las emisoras del corregimiento en el diseño e implementacion del programa radial  en los tacones del otre</v>
      </c>
      <c r="H4" t="str">
        <f>+Hoja2!H4</f>
        <v xml:space="preserve">impactar a la poblaciòn oyente en temas de diversidad. </v>
      </c>
    </row>
    <row r="5" spans="1:8" hidden="1" x14ac:dyDescent="0.2">
      <c r="A5">
        <f>+Hoja2!A5</f>
        <v>203023</v>
      </c>
      <c r="B5" s="13" t="str">
        <f>+MID(+Hoja2!B5,1,10)</f>
        <v>27/07/2021</v>
      </c>
      <c r="C5">
        <f>+VLOOKUP(D5,DepMaster!$B:$C,2,FALSE)</f>
        <v>956</v>
      </c>
      <c r="D5" t="str">
        <f>+Hoja2!C5</f>
        <v>Gerencia de Diversidades Sexuales e Identidades de Género</v>
      </c>
      <c r="E5" s="15" t="str">
        <f>+MID(Hoja2!F5,1,2)</f>
        <v>14</v>
      </c>
      <c r="F5" t="str">
        <f>+MID(Hoja2!F5,4,20)</f>
        <v>EL POBLADO</v>
      </c>
      <c r="G5" t="str">
        <f>+Hoja2!G5</f>
        <v xml:space="preserve">La articulación que se está generando entre diferentes organizaciones para impactar la zona del Poblado con presencia de mujeres trans en ejercicio de prostitución. </v>
      </c>
      <c r="H5" t="str">
        <f>+Hoja2!H5</f>
        <v xml:space="preserve">Ofertar servicios de la administración municipal. </v>
      </c>
    </row>
    <row r="6" spans="1:8" hidden="1" x14ac:dyDescent="0.2">
      <c r="A6">
        <f>+Hoja2!A6</f>
        <v>203662</v>
      </c>
      <c r="B6" s="13" t="str">
        <f>+MID(+Hoja2!B6,1,10)</f>
        <v>28/07/2021</v>
      </c>
      <c r="C6">
        <f>+VLOOKUP(D6,DepMaster!$B:$C,2,FALSE)</f>
        <v>761</v>
      </c>
      <c r="D6" t="str">
        <f>+Hoja2!C6</f>
        <v>Departamento Administrativo de Planeación</v>
      </c>
      <c r="E6" s="15" t="str">
        <f>+MID(Hoja2!F6,1,2)</f>
        <v>01</v>
      </c>
      <c r="F6" t="str">
        <f>+MID(Hoja2!F6,4,20)</f>
        <v>POPULAR</v>
      </c>
      <c r="G6" t="str">
        <f>+Hoja2!G6</f>
        <v>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(Aplica a todo el territorio)</v>
      </c>
      <c r="H6" t="str">
        <f>+Hoja2!H6</f>
        <v>N/A</v>
      </c>
    </row>
    <row r="7" spans="1:8" hidden="1" x14ac:dyDescent="0.2">
      <c r="A7">
        <f>+Hoja2!A7</f>
        <v>203662</v>
      </c>
      <c r="B7" s="13" t="str">
        <f>+MID(+Hoja2!B7,1,10)</f>
        <v>28/07/2021</v>
      </c>
      <c r="C7">
        <f>+VLOOKUP(D7,DepMaster!$B:$C,2,FALSE)</f>
        <v>761</v>
      </c>
      <c r="D7" t="str">
        <f>+Hoja2!C7</f>
        <v>Departamento Administrativo de Planeación</v>
      </c>
      <c r="E7" s="15" t="str">
        <f>+MID(Hoja2!F7,1,2)</f>
        <v>01</v>
      </c>
      <c r="F7" t="str">
        <f>+MID(Hoja2!F7,4,20)</f>
        <v>POPULAR</v>
      </c>
      <c r="G7" t="str">
        <f>+Hoja2!G7</f>
        <v xml:space="preserve"> Existe documento de Reglamentación dela PPPMAEP consolidado y en permanente ajuste a partir de las alertas de las diferentes Dependencias, para ser entregado el día martes. (Aplica a todo el territorio)</v>
      </c>
      <c r="H7" t="str">
        <f>+Hoja2!H7</f>
        <v>N/A</v>
      </c>
    </row>
    <row r="8" spans="1:8" hidden="1" x14ac:dyDescent="0.2">
      <c r="A8">
        <f>+Hoja2!A8</f>
        <v>203662</v>
      </c>
      <c r="B8" s="13" t="str">
        <f>+MID(+Hoja2!B8,1,10)</f>
        <v>28/07/2021</v>
      </c>
      <c r="C8">
        <f>+VLOOKUP(D8,DepMaster!$B:$C,2,FALSE)</f>
        <v>761</v>
      </c>
      <c r="D8" t="str">
        <f>+Hoja2!C8</f>
        <v>Departamento Administrativo de Planeación</v>
      </c>
      <c r="E8" s="15" t="str">
        <f>+MID(Hoja2!F8,1,2)</f>
        <v>01</v>
      </c>
      <c r="F8" t="str">
        <f>+MID(Hoja2!F8,4,20)</f>
        <v>POPULAR</v>
      </c>
      <c r="G8" t="str">
        <f>+Hoja2!G8</f>
        <v>Sensibilización de continuidad del proceso de gestión de la UAU 4 del PP Asomadera al Subsecretario de Gestión de Bienes sin que el Municipio venda el lote. (Aplica a todo el territorio)</v>
      </c>
      <c r="H8" t="str">
        <f>+Hoja2!H8</f>
        <v>N/A</v>
      </c>
    </row>
    <row r="9" spans="1:8" hidden="1" x14ac:dyDescent="0.2">
      <c r="A9">
        <f>+Hoja2!A9</f>
        <v>203662</v>
      </c>
      <c r="B9" s="13" t="str">
        <f>+MID(+Hoja2!B9,1,10)</f>
        <v>28/07/2021</v>
      </c>
      <c r="C9">
        <f>+VLOOKUP(D9,DepMaster!$B:$C,2,FALSE)</f>
        <v>761</v>
      </c>
      <c r="D9" t="str">
        <f>+Hoja2!C9</f>
        <v>Departamento Administrativo de Planeación</v>
      </c>
      <c r="E9" s="15" t="str">
        <f>+MID(Hoja2!F9,1,2)</f>
        <v>01</v>
      </c>
      <c r="F9" t="str">
        <f>+MID(Hoja2!F9,4,20)</f>
        <v>POPULAR</v>
      </c>
      <c r="G9" t="str">
        <f>+Hoja2!G9</f>
        <v>Existen documentos previos precontractuales para el proceso de contratación de los 1.000 millones asignados. (Aplica a todo el territorio)</v>
      </c>
      <c r="H9" t="str">
        <f>+Hoja2!H9</f>
        <v>N/A</v>
      </c>
    </row>
    <row r="10" spans="1:8" hidden="1" x14ac:dyDescent="0.2">
      <c r="A10">
        <f>+Hoja2!A10</f>
        <v>203662</v>
      </c>
      <c r="B10" s="13" t="str">
        <f>+MID(+Hoja2!B10,1,10)</f>
        <v>28/07/2021</v>
      </c>
      <c r="C10">
        <f>+VLOOKUP(D10,DepMaster!$B:$C,2,FALSE)</f>
        <v>761</v>
      </c>
      <c r="D10" t="str">
        <f>+Hoja2!C10</f>
        <v>Departamento Administrativo de Planeación</v>
      </c>
      <c r="E10" s="15" t="str">
        <f>+MID(Hoja2!F10,1,2)</f>
        <v>01</v>
      </c>
      <c r="F10" t="str">
        <f>+MID(Hoja2!F10,4,20)</f>
        <v>POPULAR</v>
      </c>
      <c r="G10" t="str">
        <f>+Hoja2!G10</f>
        <v>N/A</v>
      </c>
      <c r="H10" t="str">
        <f>+Hoja2!H10</f>
        <v>N/A</v>
      </c>
    </row>
    <row r="11" spans="1:8" hidden="1" x14ac:dyDescent="0.2">
      <c r="A11">
        <f>+Hoja2!A11</f>
        <v>203662</v>
      </c>
      <c r="B11" s="13" t="str">
        <f>+MID(+Hoja2!B11,1,10)</f>
        <v>28/07/2021</v>
      </c>
      <c r="C11">
        <f>+VLOOKUP(D11,DepMaster!$B:$C,2,FALSE)</f>
        <v>761</v>
      </c>
      <c r="D11" t="str">
        <f>+Hoja2!C11</f>
        <v>Departamento Administrativo de Planeación</v>
      </c>
      <c r="E11" s="15" t="str">
        <f>+MID(Hoja2!F11,1,2)</f>
        <v>01</v>
      </c>
      <c r="F11" t="str">
        <f>+MID(Hoja2!F11,4,20)</f>
        <v>POPULAR</v>
      </c>
      <c r="G11" t="str">
        <f>+Hoja2!G11</f>
        <v>N/A</v>
      </c>
      <c r="H11" t="str">
        <f>+Hoja2!H11</f>
        <v>N/A</v>
      </c>
    </row>
    <row r="12" spans="1:8" hidden="1" x14ac:dyDescent="0.2">
      <c r="A12">
        <f>+Hoja2!A12</f>
        <v>203770</v>
      </c>
      <c r="B12" s="13" t="str">
        <f>+MID(+Hoja2!B12,1,10)</f>
        <v>28/07/2021</v>
      </c>
      <c r="C12">
        <f>+VLOOKUP(D12,DepMaster!$B:$C,2,FALSE)</f>
        <v>723</v>
      </c>
      <c r="D12" t="str">
        <f>+Hoja2!C12</f>
        <v>Secretaría de las Mujeres</v>
      </c>
      <c r="E12" s="15" t="str">
        <f>+MID(Hoja2!F12,1,2)</f>
        <v>10</v>
      </c>
      <c r="F12" t="str">
        <f>+MID(Hoja2!F12,4,20)</f>
        <v>LA CANDELARIA</v>
      </c>
      <c r="G12" t="str">
        <f>+Hoja2!G12</f>
        <v xml:space="preserve">De 117 mujeres que fueron caracterizadas en la Escuela empresarial de Educación-Sede Boston Comuna 10, 35 recibieron medidas afirmativas para promover su permanencia en el sistema educativo. </v>
      </c>
      <c r="H12" t="str">
        <f>+Hoja2!H12</f>
        <v>117 mujeres fueron caracterizadas en la Escuela empresarial de Educación-Sede Boston
35 recibieron acciones afirmativas</v>
      </c>
    </row>
    <row r="13" spans="1:8" hidden="1" x14ac:dyDescent="0.2">
      <c r="A13">
        <f>+Hoja2!A13</f>
        <v>203770</v>
      </c>
      <c r="B13" s="13" t="str">
        <f>+MID(+Hoja2!B13,1,10)</f>
        <v>28/07/2021</v>
      </c>
      <c r="C13">
        <f>+VLOOKUP(D13,DepMaster!$B:$C,2,FALSE)</f>
        <v>723</v>
      </c>
      <c r="D13" t="str">
        <f>+Hoja2!C13</f>
        <v>Secretaría de las Mujeres</v>
      </c>
      <c r="E13" s="15" t="str">
        <f>+MID(Hoja2!F13,1,2)</f>
        <v>07</v>
      </c>
      <c r="F13" t="str">
        <f>+MID(Hoja2!F13,4,20)</f>
        <v>ROBLEDO</v>
      </c>
      <c r="G13" t="str">
        <f>+Hoja2!G13</f>
        <v>Se está brindando asistencia técnica a 17 mujeres integrantes del colectivo de Comuna 7, que reconocen la importancia de conocer cómo ha afectado la pandemia la situación de las mujeres de su comuna, y por está razón, con el acompañamiento del equipo de Participación social y política están articulando la propuesta de realizar una investigación sobre la situación de las mujeres del territorio en la pandemia.</v>
      </c>
      <c r="H13" t="str">
        <f>+Hoja2!H13</f>
        <v>Asistencia técnica a 17 mujeres integrantes del colectivo de mujeres de esa comuna.</v>
      </c>
    </row>
    <row r="14" spans="1:8" hidden="1" x14ac:dyDescent="0.2">
      <c r="A14">
        <f>+Hoja2!A14</f>
        <v>203830</v>
      </c>
      <c r="B14" s="13" t="str">
        <f>+MID(+Hoja2!B14,1,10)</f>
        <v>28/07/2021</v>
      </c>
      <c r="C14">
        <f>+VLOOKUP(D14,DepMaster!$B:$C,2,FALSE)</f>
        <v>751</v>
      </c>
      <c r="D14" t="str">
        <f>+Hoja2!C14</f>
        <v>Secretaría de Desarrollo Económico</v>
      </c>
      <c r="E14" s="15" t="str">
        <f>+MID(Hoja2!F14,1,2)</f>
        <v>13</v>
      </c>
      <c r="F14" t="str">
        <f>+MID(Hoja2!F14,4,20)</f>
        <v>SAN JAVIER</v>
      </c>
      <c r="G14" t="str">
        <f>+Hoja2!G14</f>
        <v>Se continua en la logística del primer desfile de Moda al barrio en la comuna 13 de la ciudad, donde se lanzará el programa que lidera la gestora social y que pretende impactar los talleres de confección de los barrios y darle visibilidad a esta moda. El evento se realizara el Jueves 29 de julio a las 7 am en la escaleras eléctricas de la comuna 13. Estará la Gestora Social, el Alcalde y parte del Gabinete de la alcaldía, y contará con presencia de prensa  de la Ciudad.</v>
      </c>
      <c r="H14" t="str">
        <f>+Hoja2!H14</f>
        <v>Sin cifras</v>
      </c>
    </row>
    <row r="15" spans="1:8" hidden="1" x14ac:dyDescent="0.2">
      <c r="A15">
        <f>+Hoja2!A15</f>
        <v>203830</v>
      </c>
      <c r="B15" s="13" t="str">
        <f>+MID(+Hoja2!B15,1,10)</f>
        <v>28/07/2021</v>
      </c>
      <c r="C15">
        <f>+VLOOKUP(D15,DepMaster!$B:$C,2,FALSE)</f>
        <v>751</v>
      </c>
      <c r="D15" t="str">
        <f>+Hoja2!C15</f>
        <v>Secretaría de Desarrollo Económico</v>
      </c>
      <c r="E15" s="15" t="str">
        <f>+MID(Hoja2!F15,1,2)</f>
        <v>04</v>
      </c>
      <c r="F15" t="str">
        <f>+MID(Hoja2!F15,4,20)</f>
        <v>ARANJUEZ</v>
      </c>
      <c r="G15" t="str">
        <f>+Hoja2!G15</f>
        <v>Se participara en la  feria de servicios mesa 4 de Aranjuez con las diferentes secretarias de la comuna donde  participará la Oficina Pública de Empleo con el registro/o actualización de hojas de vida en el Centro cultural Moravia, el día 29 de julio 2021</v>
      </c>
      <c r="H15" t="str">
        <f>+Hoja2!H15</f>
        <v>Sin cifras</v>
      </c>
    </row>
    <row r="16" spans="1:8" hidden="1" x14ac:dyDescent="0.2">
      <c r="A16">
        <f>+Hoja2!A16</f>
        <v>203830</v>
      </c>
      <c r="B16" s="13" t="str">
        <f>+MID(+Hoja2!B16,1,10)</f>
        <v>28/07/2021</v>
      </c>
      <c r="C16">
        <f>+VLOOKUP(D16,DepMaster!$B:$C,2,FALSE)</f>
        <v>751</v>
      </c>
      <c r="D16" t="str">
        <f>+Hoja2!C16</f>
        <v>Secretaría de Desarrollo Económico</v>
      </c>
      <c r="E16" s="15" t="str">
        <f>+MID(Hoja2!F16,1,2)</f>
        <v>11</v>
      </c>
      <c r="F16" t="str">
        <f>+MID(Hoja2!F16,4,20)</f>
        <v>LAURELES</v>
      </c>
      <c r="G16" t="str">
        <f>+Hoja2!G16</f>
        <v>Acompañamiento  por parte de la Subsecretaría de Turismo, en la elección de duplas del sector turismo al Consejo Comunal y Corregimental de Planeación CCCP  para las Comunas 11 y 8</v>
      </c>
      <c r="H16" t="str">
        <f>+Hoja2!H16</f>
        <v>Sin cifras</v>
      </c>
    </row>
    <row r="17" spans="1:8" hidden="1" x14ac:dyDescent="0.2">
      <c r="A17">
        <f>+Hoja2!A17</f>
        <v>203830</v>
      </c>
      <c r="B17" s="13" t="str">
        <f>+MID(+Hoja2!B17,1,10)</f>
        <v>28/07/2021</v>
      </c>
      <c r="C17">
        <f>+VLOOKUP(D17,DepMaster!$B:$C,2,FALSE)</f>
        <v>751</v>
      </c>
      <c r="D17" t="str">
        <f>+Hoja2!C17</f>
        <v>Secretaría de Desarrollo Económico</v>
      </c>
      <c r="E17" s="15" t="str">
        <f>+MID(Hoja2!F17,1,2)</f>
        <v>08</v>
      </c>
      <c r="F17" t="str">
        <f>+MID(Hoja2!F17,4,20)</f>
        <v>VILLA HERMOSA</v>
      </c>
      <c r="G17" t="str">
        <f>+Hoja2!G17</f>
        <v>La Subsecretaría de Turismo estará acompañando los recorridos de reconocimiento de la mesa de turismo de la Comuna 8.</v>
      </c>
      <c r="H17" t="str">
        <f>+Hoja2!H17</f>
        <v>sin cifras</v>
      </c>
    </row>
    <row r="18" spans="1:8" hidden="1" x14ac:dyDescent="0.2">
      <c r="A18">
        <f>+Hoja2!A18</f>
        <v>203830</v>
      </c>
      <c r="B18" s="13" t="str">
        <f>+MID(+Hoja2!B18,1,10)</f>
        <v>28/07/2021</v>
      </c>
      <c r="C18">
        <f>+VLOOKUP(D18,DepMaster!$B:$C,2,FALSE)</f>
        <v>751</v>
      </c>
      <c r="D18" t="str">
        <f>+Hoja2!C18</f>
        <v>Secretaría de Desarrollo Económico</v>
      </c>
      <c r="E18" s="15" t="str">
        <f>+MID(Hoja2!F18,1,2)</f>
        <v>05</v>
      </c>
      <c r="F18" t="str">
        <f>+MID(Hoja2!F18,4,20)</f>
        <v>CASTILLA</v>
      </c>
      <c r="G18" t="str">
        <f>+Hoja2!G18</f>
        <v>La Subsecretaría de Turismo brindará apoyo técnico  a la comunidad en el diseño del guion que se construye para el recorrido turístico en la Comuna 5</v>
      </c>
      <c r="H18" t="str">
        <f>+Hoja2!H18</f>
        <v>sin cifras</v>
      </c>
    </row>
    <row r="19" spans="1:8" hidden="1" x14ac:dyDescent="0.2">
      <c r="A19">
        <f>+Hoja2!A19</f>
        <v>203831</v>
      </c>
      <c r="B19" s="13" t="str">
        <f>+MID(+Hoja2!B19,1,10)</f>
        <v>28/07/2021</v>
      </c>
      <c r="C19">
        <f>+VLOOKUP(D19,DepMaster!$B:$C,2,FALSE)</f>
        <v>762</v>
      </c>
      <c r="D19" t="str">
        <f>+Hoja2!C19</f>
        <v>Secretaría de Gestión y Control Territorial</v>
      </c>
      <c r="E19" s="15" t="str">
        <f>+MID(Hoja2!F19,1,2)</f>
        <v>01</v>
      </c>
      <c r="F19" t="str">
        <f>+MID(Hoja2!F19,4,20)</f>
        <v>POPULAR</v>
      </c>
      <c r="G19" t="str">
        <f>+Hoja2!G19</f>
        <v xml:space="preserve">Proceso de Remoción: Permiten la recuperación de espacio público para la ciudadanía, ejerciendo el control territorial. </v>
      </c>
      <c r="H19" t="str">
        <f>+Hoja2!H19</f>
        <v>125 Metros cuadrados de espacio público recuperados mediante 3 procesos de remoción.</v>
      </c>
    </row>
    <row r="20" spans="1:8" hidden="1" x14ac:dyDescent="0.2">
      <c r="A20">
        <f>+Hoja2!A20</f>
        <v>203831</v>
      </c>
      <c r="B20" s="13" t="str">
        <f>+MID(+Hoja2!B20,1,10)</f>
        <v>28/07/2021</v>
      </c>
      <c r="C20">
        <f>+VLOOKUP(D20,DepMaster!$B:$C,2,FALSE)</f>
        <v>762</v>
      </c>
      <c r="D20" t="str">
        <f>+Hoja2!C20</f>
        <v>Secretaría de Gestión y Control Territorial</v>
      </c>
      <c r="E20" s="15" t="str">
        <f>+MID(Hoja2!F20,1,2)</f>
        <v>05</v>
      </c>
      <c r="F20" t="str">
        <f>+MID(Hoja2!F20,4,20)</f>
        <v>CASTILLA</v>
      </c>
      <c r="G20" t="str">
        <f>+Hoja2!G20</f>
        <v xml:space="preserve">Proceso de Remoción: Permiten la recuperación de espacio público para la ciudadanía, ejerciendo el control territorial. </v>
      </c>
      <c r="H20" t="str">
        <f>+Hoja2!H20</f>
        <v>25 Metros cuadrados de espacio público recuperados mediante 1 procesos de remoción.</v>
      </c>
    </row>
    <row r="21" spans="1:8" hidden="1" x14ac:dyDescent="0.2">
      <c r="A21">
        <f>+Hoja2!A21</f>
        <v>203831</v>
      </c>
      <c r="B21" s="13" t="str">
        <f>+MID(+Hoja2!B21,1,10)</f>
        <v>28/07/2021</v>
      </c>
      <c r="C21">
        <f>+VLOOKUP(D21,DepMaster!$B:$C,2,FALSE)</f>
        <v>762</v>
      </c>
      <c r="D21" t="str">
        <f>+Hoja2!C21</f>
        <v>Secretaría de Gestión y Control Territorial</v>
      </c>
      <c r="E21" s="15" t="str">
        <f>+MID(Hoja2!F21,1,2)</f>
        <v>07</v>
      </c>
      <c r="F21" t="str">
        <f>+MID(Hoja2!F21,4,20)</f>
        <v>ROBLEDO</v>
      </c>
      <c r="G21" t="str">
        <f>+Hoja2!G21</f>
        <v xml:space="preserve">Proceso de Remoción: Permiten la recuperación de espacio público para la ciudadanía, ejerciendo el control territorial. </v>
      </c>
      <c r="H21" t="str">
        <f>+Hoja2!H21</f>
        <v>105 Metros cuadrados de espacio público recuperados mediante 2 procesos de remoción.</v>
      </c>
    </row>
    <row r="22" spans="1:8" hidden="1" x14ac:dyDescent="0.2">
      <c r="A22">
        <f>+Hoja2!A22</f>
        <v>203831</v>
      </c>
      <c r="B22" s="13" t="str">
        <f>+MID(+Hoja2!B22,1,10)</f>
        <v>28/07/2021</v>
      </c>
      <c r="C22">
        <f>+VLOOKUP(D22,DepMaster!$B:$C,2,FALSE)</f>
        <v>762</v>
      </c>
      <c r="D22" t="str">
        <f>+Hoja2!C22</f>
        <v>Secretaría de Gestión y Control Territorial</v>
      </c>
      <c r="E22" s="15" t="str">
        <f>+MID(Hoja2!F22,1,2)</f>
        <v>08</v>
      </c>
      <c r="F22" t="str">
        <f>+MID(Hoja2!F22,4,20)</f>
        <v>VILLA HERMOSA</v>
      </c>
      <c r="G22" t="str">
        <f>+Hoja2!G22</f>
        <v xml:space="preserve">Proceso de Remoción: Permiten la recuperación de espacio público para la ciudadanía, ejerciendo el control territorial. </v>
      </c>
      <c r="H22" t="str">
        <f>+Hoja2!H22</f>
        <v>15 Metros cuadrados de espacio público recuperados mediante 1 proceso de remoción.</v>
      </c>
    </row>
    <row r="23" spans="1:8" hidden="1" x14ac:dyDescent="0.2">
      <c r="A23">
        <f>+Hoja2!A23</f>
        <v>203831</v>
      </c>
      <c r="B23" s="13" t="str">
        <f>+MID(+Hoja2!B23,1,10)</f>
        <v>28/07/2021</v>
      </c>
      <c r="C23">
        <f>+VLOOKUP(D23,DepMaster!$B:$C,2,FALSE)</f>
        <v>762</v>
      </c>
      <c r="D23" t="str">
        <f>+Hoja2!C23</f>
        <v>Secretaría de Gestión y Control Territorial</v>
      </c>
      <c r="E23" s="15" t="str">
        <f>+MID(Hoja2!F23,1,2)</f>
        <v>09</v>
      </c>
      <c r="F23" t="str">
        <f>+MID(Hoja2!F23,4,20)</f>
        <v>BUENOS AIRES</v>
      </c>
      <c r="G23" t="str">
        <f>+Hoja2!G23</f>
        <v xml:space="preserve">Proceso de Remoción: Permiten la recuperación de espacio público para la ciudadanía, ejerciendo el control territorial. </v>
      </c>
      <c r="H23" t="str">
        <f>+Hoja2!H23</f>
        <v>198 Metros cuadrados de espacio público recuperados mediante 5 procesos de remoción.</v>
      </c>
    </row>
    <row r="24" spans="1:8" hidden="1" x14ac:dyDescent="0.2">
      <c r="A24">
        <f>+Hoja2!A24</f>
        <v>203831</v>
      </c>
      <c r="B24" s="13" t="str">
        <f>+MID(+Hoja2!B24,1,10)</f>
        <v>28/07/2021</v>
      </c>
      <c r="C24">
        <f>+VLOOKUP(D24,DepMaster!$B:$C,2,FALSE)</f>
        <v>762</v>
      </c>
      <c r="D24" t="str">
        <f>+Hoja2!C24</f>
        <v>Secretaría de Gestión y Control Territorial</v>
      </c>
      <c r="E24" s="15" t="str">
        <f>+MID(Hoja2!F24,1,2)</f>
        <v>13</v>
      </c>
      <c r="F24" t="str">
        <f>+MID(Hoja2!F24,4,20)</f>
        <v>SAN JAVIER</v>
      </c>
      <c r="G24" t="str">
        <f>+Hoja2!G24</f>
        <v xml:space="preserve">Proceso de Remoción: Permiten la recuperación de espacio público para la ciudadanía, ejerciendo el control territorial. </v>
      </c>
      <c r="H24" t="str">
        <f>+Hoja2!H24</f>
        <v>80 Metros cuadrados de espacio público recuperados mediante 1 proceso de remoción.</v>
      </c>
    </row>
    <row r="25" spans="1:8" x14ac:dyDescent="0.2">
      <c r="A25">
        <f>+Hoja2!A25</f>
        <v>203831</v>
      </c>
      <c r="B25" s="13" t="str">
        <f>+MID(+Hoja2!B25,1,10)</f>
        <v>28/07/2021</v>
      </c>
      <c r="C25">
        <f>+VLOOKUP(D25,DepMaster!$B:$C,2,FALSE)</f>
        <v>762</v>
      </c>
      <c r="D25" t="str">
        <f>+Hoja2!C25</f>
        <v>Secretaría de Gestión y Control Territorial</v>
      </c>
      <c r="E25" s="15" t="str">
        <f>+MID(Hoja2!F25,1,2)</f>
        <v>60</v>
      </c>
      <c r="F25" t="str">
        <f>+MID(Hoja2!F25,4,20)</f>
        <v>SAN CRISTOBAL</v>
      </c>
      <c r="G25" t="str">
        <f>+Hoja2!G25</f>
        <v xml:space="preserve">Proceso de Remoción: Permiten la recuperación de espacio público para la ciudadanía, ejerciendo el control territorial. </v>
      </c>
      <c r="H25" t="str">
        <f>+Hoja2!H25</f>
        <v>560 Metros cuadrados de espacio público recuperados mediante 8 procesos de remoción.</v>
      </c>
    </row>
    <row r="26" spans="1:8" hidden="1" x14ac:dyDescent="0.2">
      <c r="A26">
        <f>+Hoja2!A26</f>
        <v>203831</v>
      </c>
      <c r="B26" s="13" t="str">
        <f>+MID(+Hoja2!B26,1,10)</f>
        <v>28/07/2021</v>
      </c>
      <c r="C26">
        <f>+VLOOKUP(D26,DepMaster!$B:$C,2,FALSE)</f>
        <v>762</v>
      </c>
      <c r="D26" t="str">
        <f>+Hoja2!C26</f>
        <v>Secretaría de Gestión y Control Territorial</v>
      </c>
      <c r="E26" s="15" t="str">
        <f>+MID(Hoja2!F26,1,2)</f>
        <v>90</v>
      </c>
      <c r="F26" t="str">
        <f>+MID(Hoja2!F26,4,20)</f>
        <v>SANTA ELENA</v>
      </c>
      <c r="G26" t="str">
        <f>+Hoja2!G26</f>
        <v xml:space="preserve">Proceso de Remoción: Permiten la recuperación de espacio público para la ciudadanía, ejerciendo el control territorial. </v>
      </c>
      <c r="H26" t="str">
        <f>+Hoja2!H26</f>
        <v>299 Metros cuadrados de espacio público recuperados mediante 4 procesos de remoción.</v>
      </c>
    </row>
    <row r="27" spans="1:8" hidden="1" x14ac:dyDescent="0.2">
      <c r="A27">
        <f>+Hoja2!A27</f>
        <v>203863</v>
      </c>
      <c r="B27" s="13" t="str">
        <f>+MID(+Hoja2!B27,1,10)</f>
        <v>28/07/2021</v>
      </c>
      <c r="C27">
        <f>+VLOOKUP(D27,DepMaster!$B:$C,2,FALSE)</f>
        <v>742</v>
      </c>
      <c r="D27" t="str">
        <f>+Hoja2!C27</f>
        <v>Secretaría de Medio Ambiente</v>
      </c>
      <c r="E27" s="15" t="str">
        <f>+MID(Hoja2!F27,1,2)</f>
        <v>03</v>
      </c>
      <c r="F27" t="str">
        <f>+MID(Hoja2!F27,4,20)</f>
        <v>MANRIQUE</v>
      </c>
      <c r="G27" t="str">
        <f>+Hoja2!G27</f>
        <v>Intervención Integral Punto Crítico, Transformación Integral del lugar Intervenido</v>
      </c>
      <c r="H27" t="str">
        <f>+Hoja2!H27</f>
        <v>Recolección de residuos ordinarios: 15 m3
RCD: 7 m3
Voluminosos : 8 m3
Siembra plantas : 1463 unidades
Jardineras : 230 m 
Pintura de bolardos y mobiliario urbano : 30 unidades 
Barrido profundo : 180 m
Pintura pasamanos : 43 m
Pintura de muros vandalizados : 6 m2
Limpieza de sumideros : 70 unidades
Limpieza zonas verdes : 250m2
Inversión aproximada : 80 millones de pesos</v>
      </c>
    </row>
    <row r="28" spans="1:8" hidden="1" x14ac:dyDescent="0.2">
      <c r="A28">
        <f>+Hoja2!A28</f>
        <v>203863</v>
      </c>
      <c r="B28" s="13" t="str">
        <f>+MID(+Hoja2!B28,1,10)</f>
        <v>28/07/2021</v>
      </c>
      <c r="C28">
        <f>+VLOOKUP(D28,DepMaster!$B:$C,2,FALSE)</f>
        <v>742</v>
      </c>
      <c r="D28" t="str">
        <f>+Hoja2!C28</f>
        <v>Secretaría de Medio Ambiente</v>
      </c>
      <c r="E28" s="15" t="str">
        <f>+MID(Hoja2!F28,1,2)</f>
        <v>04</v>
      </c>
      <c r="F28" t="str">
        <f>+MID(Hoja2!F28,4,20)</f>
        <v>ARANJUEZ</v>
      </c>
      <c r="G28" t="str">
        <f>+Hoja2!G28</f>
        <v>Intervención Puntual, Embellecimiento y recuperación integral parque Los Deseos</v>
      </c>
      <c r="H28" t="str">
        <f>+Hoja2!H28</f>
        <v>Lavado zonas duras : 11500 m2
Retiro de publicidad prohibida : 35 postes
Pintura y limpieza de mobiliario urbano: 35 módulos
Pintura muros vandalizados : 88 m2</v>
      </c>
    </row>
    <row r="29" spans="1:8" hidden="1" x14ac:dyDescent="0.2">
      <c r="A29">
        <f>+Hoja2!A29</f>
        <v>203863</v>
      </c>
      <c r="B29" s="13" t="str">
        <f>+MID(+Hoja2!B29,1,10)</f>
        <v>28/07/2021</v>
      </c>
      <c r="C29">
        <f>+VLOOKUP(D29,DepMaster!$B:$C,2,FALSE)</f>
        <v>742</v>
      </c>
      <c r="D29" t="str">
        <f>+Hoja2!C29</f>
        <v>Secretaría de Medio Ambiente</v>
      </c>
      <c r="E29" s="15" t="str">
        <f>+MID(Hoja2!F29,1,2)</f>
        <v>10</v>
      </c>
      <c r="F29" t="str">
        <f>+MID(Hoja2!F29,4,20)</f>
        <v>LA CANDELARIA</v>
      </c>
      <c r="G29" t="str">
        <f>+Hoja2!G29</f>
        <v>Intervención Puntual Gerencia Centro, Embellecimiento lugar</v>
      </c>
      <c r="H29" t="str">
        <f>+Hoja2!H29</f>
        <v>Indicadores :Lavado zonas duras : 600m2
Retiro de publicidad prohibida y pintura  : 45 postes
Pintura y limpieza de mobiliario urbano: 6 módulos
Pintura pasamanos  :  10 m
Recolección de residuos : Rcd 3m3</v>
      </c>
    </row>
    <row r="30" spans="1:8" hidden="1" x14ac:dyDescent="0.2">
      <c r="A30">
        <f>+Hoja2!A30</f>
        <v>203863</v>
      </c>
      <c r="B30" s="13" t="str">
        <f>+MID(+Hoja2!B30,1,10)</f>
        <v>28/07/2021</v>
      </c>
      <c r="C30">
        <f>+VLOOKUP(D30,DepMaster!$B:$C,2,FALSE)</f>
        <v>742</v>
      </c>
      <c r="D30" t="str">
        <f>+Hoja2!C30</f>
        <v>Secretaría de Medio Ambiente</v>
      </c>
      <c r="E30" s="15" t="str">
        <f>+MID(Hoja2!F30,1,2)</f>
        <v>14</v>
      </c>
      <c r="F30" t="str">
        <f>+MID(Hoja2!F30,4,20)</f>
        <v>EL POBLADO</v>
      </c>
      <c r="G30" t="str">
        <f>+Hoja2!G30</f>
        <v>Intervención Integral Parque Lleras, Embellecimiento del lugar en marco Feria de Flores</v>
      </c>
      <c r="H30" t="str">
        <f>+Hoja2!H30</f>
        <v>Lavado zonas duras : 3090 m2
Sensibilización buenas practicas ambientales  : 30 personas
Retiro de publicidad prohibida : 100 postes 
Mantenimiento jardinería :2950m2
Pintura de muros vandalizados: 15 m2
Pintura y limpieza de mobiliario urbano: 65 módulos
Recolección de residuos ordinarios: 5 m3
Limpieza de sumideros : 90 unidades</v>
      </c>
    </row>
    <row r="31" spans="1:8" hidden="1" x14ac:dyDescent="0.2">
      <c r="A31">
        <f>+Hoja2!A31</f>
        <v>203863</v>
      </c>
      <c r="B31" s="13" t="str">
        <f>+MID(+Hoja2!B31,1,10)</f>
        <v>28/07/2021</v>
      </c>
      <c r="C31">
        <f>+VLOOKUP(D31,DepMaster!$B:$C,2,FALSE)</f>
        <v>742</v>
      </c>
      <c r="D31" t="str">
        <f>+Hoja2!C31</f>
        <v>Secretaría de Medio Ambiente</v>
      </c>
      <c r="E31" s="15" t="str">
        <f>+MID(Hoja2!F31,1,2)</f>
        <v>16</v>
      </c>
      <c r="F31" t="str">
        <f>+MID(Hoja2!F31,4,20)</f>
        <v>BELEN</v>
      </c>
      <c r="G31" t="str">
        <f>+Hoja2!G31</f>
        <v>Intervención Puntual, Embellecimiento  en marco de inauguración Teatro abierto Carlos V.</v>
      </c>
      <c r="H31" t="str">
        <f>+Hoja2!H31</f>
        <v>Lavado profundo y barrido 4700 m2</v>
      </c>
    </row>
    <row r="32" spans="1:8" hidden="1" x14ac:dyDescent="0.2">
      <c r="A32">
        <f>+Hoja2!A32</f>
        <v>203863</v>
      </c>
      <c r="B32" s="13" t="str">
        <f>+MID(+Hoja2!B32,1,10)</f>
        <v>28/07/2021</v>
      </c>
      <c r="C32">
        <f>+VLOOKUP(D32,DepMaster!$B:$C,2,FALSE)</f>
        <v>742</v>
      </c>
      <c r="D32" t="str">
        <f>+Hoja2!C32</f>
        <v>Secretaría de Medio Ambiente</v>
      </c>
      <c r="E32" s="15" t="str">
        <f>+MID(Hoja2!F32,1,2)</f>
        <v>07</v>
      </c>
      <c r="F32" t="str">
        <f>+MID(Hoja2!F32,4,20)</f>
        <v>ROBLEDO</v>
      </c>
      <c r="G32" t="str">
        <f>+Hoja2!G32</f>
        <v>Realización de actividades sociales (Talleres, apropiación, recorridos, rutas, encuentemonos, semilleros y cine foro), con las comunidades aledañas al Cerro el Volador.</v>
      </c>
      <c r="H32" t="str">
        <f>+Hoja2!H32</f>
        <v>37 personas.</v>
      </c>
    </row>
    <row r="33" spans="1:8" hidden="1" x14ac:dyDescent="0.2">
      <c r="A33">
        <f>+Hoja2!A33</f>
        <v>203863</v>
      </c>
      <c r="B33" s="13" t="str">
        <f>+MID(+Hoja2!B33,1,10)</f>
        <v>28/07/2021</v>
      </c>
      <c r="C33">
        <f>+VLOOKUP(D33,DepMaster!$B:$C,2,FALSE)</f>
        <v>742</v>
      </c>
      <c r="D33" t="str">
        <f>+Hoja2!C33</f>
        <v>Secretaría de Medio Ambiente</v>
      </c>
      <c r="E33" s="15" t="str">
        <f>+MID(Hoja2!F33,1,2)</f>
        <v>08</v>
      </c>
      <c r="F33" t="str">
        <f>+MID(Hoja2!F33,4,20)</f>
        <v>VILLA HERMOSA</v>
      </c>
      <c r="G33" t="str">
        <f>+Hoja2!G33</f>
        <v>Realización de actividades sociales (Talleres, apropiación, recorridos, rutas, encuentemonos, semilleros y cine foro), con las comunidades aledañas al Cerro Pan de Azúcar.</v>
      </c>
      <c r="H33" t="str">
        <f>+Hoja2!H33</f>
        <v>94 personas.</v>
      </c>
    </row>
    <row r="34" spans="1:8" hidden="1" x14ac:dyDescent="0.2">
      <c r="A34">
        <f>+Hoja2!A34</f>
        <v>203863</v>
      </c>
      <c r="B34" s="13" t="str">
        <f>+MID(+Hoja2!B34,1,10)</f>
        <v>28/07/2021</v>
      </c>
      <c r="C34">
        <f>+VLOOKUP(D34,DepMaster!$B:$C,2,FALSE)</f>
        <v>742</v>
      </c>
      <c r="D34" t="str">
        <f>+Hoja2!C34</f>
        <v>Secretaría de Medio Ambiente</v>
      </c>
      <c r="E34" s="15" t="str">
        <f>+MID(Hoja2!F34,1,2)</f>
        <v>10</v>
      </c>
      <c r="F34" t="str">
        <f>+MID(Hoja2!F34,4,20)</f>
        <v>LA CANDELARIA</v>
      </c>
      <c r="G34" t="str">
        <f>+Hoja2!G34</f>
        <v>Realización de actividades sociales (Talleres, apropiación, recorridos, rutas, encuentemonos, semilleros y cine foro), con las comunidades aledañas al Cerro la Asomadera.</v>
      </c>
      <c r="H34" t="str">
        <f>+Hoja2!H34</f>
        <v>20 personas.</v>
      </c>
    </row>
    <row r="35" spans="1:8" hidden="1" x14ac:dyDescent="0.2">
      <c r="A35">
        <f>+Hoja2!A35</f>
        <v>203863</v>
      </c>
      <c r="B35" s="13" t="str">
        <f>+MID(+Hoja2!B35,1,10)</f>
        <v>28/07/2021</v>
      </c>
      <c r="C35">
        <f>+VLOOKUP(D35,DepMaster!$B:$C,2,FALSE)</f>
        <v>742</v>
      </c>
      <c r="D35" t="str">
        <f>+Hoja2!C35</f>
        <v>Secretaría de Medio Ambiente</v>
      </c>
      <c r="E35" s="15" t="str">
        <f>+MID(Hoja2!F35,1,2)</f>
        <v>13</v>
      </c>
      <c r="F35" t="str">
        <f>+MID(Hoja2!F35,4,20)</f>
        <v>SAN JAVIER</v>
      </c>
      <c r="G35" t="str">
        <f>+Hoja2!G35</f>
        <v>Socialización a comunidad sector Guanteros, Siembras Compensación Anticipada de 300 arboles para dar cumplimiento a requerimiento de compensación anticipada solicitada por ANLA en el Permiso de Aprovechamiento Forestal para el proyecto Picacha-Pachamama.</v>
      </c>
      <c r="H35">
        <f>+Hoja2!H35</f>
        <v>0</v>
      </c>
    </row>
    <row r="36" spans="1:8" hidden="1" x14ac:dyDescent="0.2">
      <c r="A36">
        <f>+Hoja2!A36</f>
        <v>203863</v>
      </c>
      <c r="B36" s="13" t="str">
        <f>+MID(+Hoja2!B36,1,10)</f>
        <v>28/07/2021</v>
      </c>
      <c r="C36">
        <f>+VLOOKUP(D36,DepMaster!$B:$C,2,FALSE)</f>
        <v>742</v>
      </c>
      <c r="D36" t="str">
        <f>+Hoja2!C36</f>
        <v>Secretaría de Medio Ambiente</v>
      </c>
      <c r="E36" s="15" t="str">
        <f>+MID(Hoja2!F36,1,2)</f>
        <v>16</v>
      </c>
      <c r="F36" t="str">
        <f>+MID(Hoja2!F36,4,20)</f>
        <v>BELEN</v>
      </c>
      <c r="G36" t="str">
        <f>+Hoja2!G36</f>
        <v>Realización de actividades sociales (Talleres, apropiación, recorridos, rutas, encuentemonos, semilleros y cine foro), con las comunidades aledañas al Cerro Nutibara.</v>
      </c>
      <c r="H36" t="str">
        <f>+Hoja2!H36</f>
        <v>18 personas.</v>
      </c>
    </row>
    <row r="37" spans="1:8" x14ac:dyDescent="0.2">
      <c r="A37">
        <f>+Hoja2!A37</f>
        <v>203863</v>
      </c>
      <c r="B37" s="13" t="str">
        <f>+MID(+Hoja2!B37,1,10)</f>
        <v>28/07/2021</v>
      </c>
      <c r="C37">
        <f>+VLOOKUP(D37,DepMaster!$B:$C,2,FALSE)</f>
        <v>742</v>
      </c>
      <c r="D37" t="str">
        <f>+Hoja2!C37</f>
        <v>Secretaría de Medio Ambiente</v>
      </c>
      <c r="E37" s="15" t="str">
        <f>+MID(Hoja2!F37,1,2)</f>
        <v>60</v>
      </c>
      <c r="F37" t="str">
        <f>+MID(Hoja2!F37,4,20)</f>
        <v>SAN CRISTOBAL</v>
      </c>
      <c r="G37" t="str">
        <f>+Hoja2!G37</f>
        <v>Realización de actividades sociales (Talleres, apropiación, recorridos, rutas, encuentemonos, semilleros y cine foro), con las comunidades aledañas al Cerro el Picacho.</v>
      </c>
      <c r="H37" t="str">
        <f>+Hoja2!H37</f>
        <v>6 personas</v>
      </c>
    </row>
    <row r="38" spans="1:8" hidden="1" x14ac:dyDescent="0.2">
      <c r="A38">
        <f>+Hoja2!A38</f>
        <v>203863</v>
      </c>
      <c r="B38" s="13" t="str">
        <f>+MID(+Hoja2!B38,1,10)</f>
        <v>28/07/2021</v>
      </c>
      <c r="C38">
        <f>+VLOOKUP(D38,DepMaster!$B:$C,2,FALSE)</f>
        <v>742</v>
      </c>
      <c r="D38" t="str">
        <f>+Hoja2!C38</f>
        <v>Secretaría de Medio Ambiente</v>
      </c>
      <c r="E38" s="15" t="str">
        <f>+MID(Hoja2!F38,1,2)</f>
        <v>70</v>
      </c>
      <c r="F38" t="str">
        <f>+MID(Hoja2!F38,4,20)</f>
        <v>ALTAVISTA</v>
      </c>
      <c r="G38" t="str">
        <f>+Hoja2!G38</f>
        <v>Realización de actividades sociales (Talleres, apropiación, recorridos, rutas, encuentemonos, semilleros y cine foro), con las comunidades aledañas al Cerro de las tres cruces.</v>
      </c>
      <c r="H38" t="str">
        <f>+Hoja2!H38</f>
        <v>70 personas.</v>
      </c>
    </row>
    <row r="39" spans="1:8" hidden="1" x14ac:dyDescent="0.2">
      <c r="A39">
        <f>+Hoja2!A39</f>
        <v>203863</v>
      </c>
      <c r="B39" s="13" t="str">
        <f>+MID(+Hoja2!B39,1,10)</f>
        <v>28/07/2021</v>
      </c>
      <c r="C39">
        <f>+VLOOKUP(D39,DepMaster!$B:$C,2,FALSE)</f>
        <v>742</v>
      </c>
      <c r="D39" t="str">
        <f>+Hoja2!C39</f>
        <v>Secretaría de Medio Ambiente</v>
      </c>
      <c r="E39" s="15" t="str">
        <f>+MID(Hoja2!F39,1,2)</f>
        <v>01</v>
      </c>
      <c r="F39" t="str">
        <f>+MID(Hoja2!F39,4,20)</f>
        <v>POPULAR</v>
      </c>
      <c r="G39" t="str">
        <f>+Hoja2!G39</f>
        <v xml:space="preserve">Se asistió a reunión con 17 líderes comunitarios para elaborar necesidades en materia de educación y sensibilización animal, y presentar oferta institucional en el área y delinear actividades a implementar.                 </v>
      </c>
      <c r="H39" t="str">
        <f>+Hoja2!H39</f>
        <v>17 PERSONAS</v>
      </c>
    </row>
    <row r="40" spans="1:8" hidden="1" x14ac:dyDescent="0.2">
      <c r="A40">
        <f>+Hoja2!A40</f>
        <v>203863</v>
      </c>
      <c r="B40" s="13" t="str">
        <f>+MID(+Hoja2!B40,1,10)</f>
        <v>28/07/2021</v>
      </c>
      <c r="C40">
        <f>+VLOOKUP(D40,DepMaster!$B:$C,2,FALSE)</f>
        <v>742</v>
      </c>
      <c r="D40" t="str">
        <f>+Hoja2!C40</f>
        <v>Secretaría de Medio Ambiente</v>
      </c>
      <c r="E40" s="15" t="str">
        <f>+MID(Hoja2!F40,1,2)</f>
        <v>03</v>
      </c>
      <c r="F40" t="str">
        <f>+MID(Hoja2!F40,4,20)</f>
        <v>MANRIQUE</v>
      </c>
      <c r="G40" t="str">
        <f>+Hoja2!G40</f>
        <v>Se asistió al primer encuentro sectorial/poblacional en Comuna 3, donde se socializó los programas de la Subsecretaría de Protección y Bienestar Animal y se presentó propuesta de criterios a ser considerados por los asistentes. La reunión tuvo como resultado la elección de una dupla para elección.</v>
      </c>
      <c r="H40" t="str">
        <f>+Hoja2!H40</f>
        <v>23 ciudadanos</v>
      </c>
    </row>
    <row r="41" spans="1:8" hidden="1" x14ac:dyDescent="0.2">
      <c r="A41">
        <f>+Hoja2!A41</f>
        <v>203863</v>
      </c>
      <c r="B41" s="13" t="str">
        <f>+MID(+Hoja2!B41,1,10)</f>
        <v>28/07/2021</v>
      </c>
      <c r="C41">
        <f>+VLOOKUP(D41,DepMaster!$B:$C,2,FALSE)</f>
        <v>742</v>
      </c>
      <c r="D41" t="str">
        <f>+Hoja2!C41</f>
        <v>Secretaría de Medio Ambiente</v>
      </c>
      <c r="E41" s="15" t="str">
        <f>+MID(Hoja2!F41,1,2)</f>
        <v>03</v>
      </c>
      <c r="F41" t="str">
        <f>+MID(Hoja2!F41,4,20)</f>
        <v>MANRIQUE</v>
      </c>
      <c r="G41" t="str">
        <f>+Hoja2!G41</f>
        <v>Socialización comunidad sobre cuidado responsable de animales de compañía.</v>
      </c>
      <c r="H41" t="str">
        <f>+Hoja2!H41</f>
        <v>15 PERSONAS</v>
      </c>
    </row>
    <row r="42" spans="1:8" hidden="1" x14ac:dyDescent="0.2">
      <c r="A42">
        <f>+Hoja2!A42</f>
        <v>203863</v>
      </c>
      <c r="B42" s="13" t="str">
        <f>+MID(+Hoja2!B42,1,10)</f>
        <v>28/07/2021</v>
      </c>
      <c r="C42">
        <f>+VLOOKUP(D42,DepMaster!$B:$C,2,FALSE)</f>
        <v>742</v>
      </c>
      <c r="D42" t="str">
        <f>+Hoja2!C42</f>
        <v>Secretaría de Medio Ambiente</v>
      </c>
      <c r="E42" s="15" t="str">
        <f>+MID(Hoja2!F42,1,2)</f>
        <v>10</v>
      </c>
      <c r="F42" t="str">
        <f>+MID(Hoja2!F42,4,20)</f>
        <v>LA CANDELARIA</v>
      </c>
      <c r="G42" t="str">
        <f>+Hoja2!G42</f>
        <v xml:space="preserve">visita técnica a 14 locales de la Plaza Minorista con equipo de Protección y Bienestar Animal conformado por veterinario, Bióloga y Profesional en el área social.                              </v>
      </c>
      <c r="H42" t="str">
        <f>+Hoja2!H42</f>
        <v>25 PERSONAS</v>
      </c>
    </row>
    <row r="43" spans="1:8" hidden="1" x14ac:dyDescent="0.2">
      <c r="A43">
        <f>+Hoja2!A43</f>
        <v>203863</v>
      </c>
      <c r="B43" s="13" t="str">
        <f>+MID(+Hoja2!B43,1,10)</f>
        <v>28/07/2021</v>
      </c>
      <c r="C43">
        <f>+VLOOKUP(D43,DepMaster!$B:$C,2,FALSE)</f>
        <v>742</v>
      </c>
      <c r="D43" t="str">
        <f>+Hoja2!C43</f>
        <v>Secretaría de Medio Ambiente</v>
      </c>
      <c r="E43" s="15" t="str">
        <f>+MID(Hoja2!F43,1,2)</f>
        <v>50</v>
      </c>
      <c r="F43" t="str">
        <f>+MID(Hoja2!F43,4,20)</f>
        <v>PALMITAS</v>
      </c>
      <c r="G43" t="str">
        <f>+Hoja2!G43</f>
        <v>se asistió a socialización presencial de fichas de presupuesto tema Animal. en comuna 50</v>
      </c>
      <c r="H43" t="str">
        <f>+Hoja2!H43</f>
        <v>Reunión con quorum decisorio.</v>
      </c>
    </row>
    <row r="44" spans="1:8" hidden="1" x14ac:dyDescent="0.2">
      <c r="A44">
        <f>+Hoja2!A44</f>
        <v>203880</v>
      </c>
      <c r="B44" s="13" t="str">
        <f>+MID(+Hoja2!B44,1,10)</f>
        <v>28/07/2021</v>
      </c>
      <c r="C44">
        <f>+VLOOKUP(D44,DepMaster!$B:$C,2,FALSE)</f>
        <v>705</v>
      </c>
      <c r="D44" t="str">
        <f>+Hoja2!C44</f>
        <v>Secretaría General</v>
      </c>
      <c r="E44" s="15" t="str">
        <f>+MID(Hoja2!F44,1,2)</f>
        <v>16</v>
      </c>
      <c r="F44" t="str">
        <f>+MID(Hoja2!F44,4,20)</f>
        <v>BELEN</v>
      </c>
      <c r="G44" t="str">
        <f>+Hoja2!G44</f>
        <v>N/A</v>
      </c>
      <c r="H44" t="str">
        <f>+Hoja2!H44</f>
        <v>N/A</v>
      </c>
    </row>
    <row r="45" spans="1:8" hidden="1" x14ac:dyDescent="0.2">
      <c r="A45">
        <f>+Hoja2!A45</f>
        <v>203905</v>
      </c>
      <c r="B45" s="13" t="str">
        <f>+MID(+Hoja2!B45,1,10)</f>
        <v>28/07/2021</v>
      </c>
      <c r="C45">
        <f>+VLOOKUP(D45,DepMaster!$B:$C,2,FALSE)</f>
        <v>703</v>
      </c>
      <c r="D45" t="str">
        <f>+Hoja2!C45</f>
        <v>Secretaría de Evaluación y Control</v>
      </c>
      <c r="E45" s="15" t="str">
        <f>+MID(Hoja2!F45,1,2)</f>
        <v>01</v>
      </c>
      <c r="F45" t="str">
        <f>+MID(Hoja2!F45,4,20)</f>
        <v>POPULAR</v>
      </c>
      <c r="G45" t="str">
        <f>+Hoja2!G45</f>
        <v>-</v>
      </c>
      <c r="H45" t="str">
        <f>+Hoja2!H45</f>
        <v>-</v>
      </c>
    </row>
    <row r="46" spans="1:8" hidden="1" x14ac:dyDescent="0.2">
      <c r="A46">
        <f>+Hoja2!A46</f>
        <v>203928</v>
      </c>
      <c r="B46" s="13" t="str">
        <f>+MID(+Hoja2!B46,1,10)</f>
        <v>28/07/2021</v>
      </c>
      <c r="C46">
        <f>+VLOOKUP(D46,DepMaster!$B:$C,2,FALSE)</f>
        <v>732</v>
      </c>
      <c r="D46" t="str">
        <f>+Hoja2!C46</f>
        <v>Secretaría de Seguridad y Convivencia</v>
      </c>
      <c r="E46" s="15" t="str">
        <f>+MID(Hoja2!F46,1,2)</f>
        <v>01</v>
      </c>
      <c r="F46" t="str">
        <f>+MID(Hoja2!F46,4,20)</f>
        <v>POPULAR</v>
      </c>
      <c r="G46" t="str">
        <f>+Hoja2!G46</f>
        <v>-	Se hace intervención en una chiquiteka que viene azotando la Comuna, dando un resultado positivo, se encuentran aproximadamente 20 menores de edad pero no se pudieron retener por no contar con Policía de Infancia y Adolescencia, se individualiza a la persona encargada y se decomisa una granizadora, se iniciará proceso por inspección para hacerle seguimiento a ese tipo de actividad.</v>
      </c>
      <c r="H46" t="str">
        <f>+Hoja2!H46</f>
        <v>N/A</v>
      </c>
    </row>
    <row r="47" spans="1:8" hidden="1" x14ac:dyDescent="0.2">
      <c r="A47">
        <f>+Hoja2!A47</f>
        <v>203928</v>
      </c>
      <c r="B47" s="13" t="str">
        <f>+MID(+Hoja2!B47,1,10)</f>
        <v>28/07/2021</v>
      </c>
      <c r="C47">
        <f>+VLOOKUP(D47,DepMaster!$B:$C,2,FALSE)</f>
        <v>732</v>
      </c>
      <c r="D47" t="str">
        <f>+Hoja2!C47</f>
        <v>Secretaría de Seguridad y Convivencia</v>
      </c>
      <c r="E47" s="15" t="str">
        <f>+MID(Hoja2!F47,1,2)</f>
        <v>02</v>
      </c>
      <c r="F47" t="str">
        <f>+MID(Hoja2!F47,4,20)</f>
        <v>SANTA CRUZ</v>
      </c>
      <c r="G47" t="str">
        <f>+Hoja2!G47</f>
        <v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v>
      </c>
      <c r="H47" t="str">
        <f>+Hoja2!H47</f>
        <v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Participaron 15 personas. </v>
      </c>
    </row>
    <row r="48" spans="1:8" hidden="1" x14ac:dyDescent="0.2">
      <c r="A48">
        <f>+Hoja2!A48</f>
        <v>203928</v>
      </c>
      <c r="B48" s="13" t="str">
        <f>+MID(+Hoja2!B48,1,10)</f>
        <v>28/07/2021</v>
      </c>
      <c r="C48">
        <f>+VLOOKUP(D48,DepMaster!$B:$C,2,FALSE)</f>
        <v>732</v>
      </c>
      <c r="D48" t="str">
        <f>+Hoja2!C48</f>
        <v>Secretaría de Seguridad y Convivencia</v>
      </c>
      <c r="E48" s="15" t="str">
        <f>+MID(Hoja2!F48,1,2)</f>
        <v>03</v>
      </c>
      <c r="F48" t="str">
        <f>+MID(Hoja2!F48,4,20)</f>
        <v>MANRIQUE</v>
      </c>
      <c r="G48" t="str">
        <f>+Hoja2!G48</f>
        <v xml:space="preserve">-	Inscripción de candidatos a los encuentros sectoriales y/o poblacionales para las Elecciones del Consejo Comunal y Corregimental de Planeación 2021, por el “Sector Barrismo”
-	Se realiza actividad para fomentar buenas prácticas de seguridad en el sector comercial del Raizal, se intervinieron 40 locales comerciales.
-	Intervención interinstitucional y puestos de control
</v>
      </c>
      <c r="H48">
        <f>+Hoja2!H48</f>
        <v>0</v>
      </c>
    </row>
    <row r="49" spans="1:8" hidden="1" x14ac:dyDescent="0.2">
      <c r="A49">
        <f>+Hoja2!A49</f>
        <v>203928</v>
      </c>
      <c r="B49" s="13" t="str">
        <f>+MID(+Hoja2!B49,1,10)</f>
        <v>28/07/2021</v>
      </c>
      <c r="C49">
        <f>+VLOOKUP(D49,DepMaster!$B:$C,2,FALSE)</f>
        <v>732</v>
      </c>
      <c r="D49" t="str">
        <f>+Hoja2!C49</f>
        <v>Secretaría de Seguridad y Convivencia</v>
      </c>
      <c r="E49" s="15" t="str">
        <f>+MID(Hoja2!F49,1,2)</f>
        <v>04</v>
      </c>
      <c r="F49" t="str">
        <f>+MID(Hoja2!F49,4,20)</f>
        <v>ARANJUEZ</v>
      </c>
      <c r="G49" t="str">
        <f>+Hoja2!G49</f>
        <v xml:space="preserve">-	Articulación con la Mesa Interinstitucional a través de su coordinador Sergio Herrera para hacer presencia en El Parque de los Deseos.
-	Aprobación de los proyectos  de Convivencia PP 2.022 por el Consejo Comunal y Corregimental, para ser priorizado por la comunidad.
-	Plan prevención extorsión y puestos de control
</v>
      </c>
      <c r="H49">
        <f>+Hoja2!H49</f>
        <v>0</v>
      </c>
    </row>
    <row r="50" spans="1:8" hidden="1" x14ac:dyDescent="0.2">
      <c r="A50">
        <f>+Hoja2!A50</f>
        <v>203928</v>
      </c>
      <c r="B50" s="13" t="str">
        <f>+MID(+Hoja2!B50,1,10)</f>
        <v>28/07/2021</v>
      </c>
      <c r="C50">
        <f>+VLOOKUP(D50,DepMaster!$B:$C,2,FALSE)</f>
        <v>732</v>
      </c>
      <c r="D50" t="str">
        <f>+Hoja2!C50</f>
        <v>Secretaría de Seguridad y Convivencia</v>
      </c>
      <c r="E50" s="15" t="str">
        <f>+MID(Hoja2!F50,1,2)</f>
        <v>05</v>
      </c>
      <c r="F50" t="str">
        <f>+MID(Hoja2!F50,4,20)</f>
        <v>CASTILLA</v>
      </c>
      <c r="G50" t="str">
        <f>+Hoja2!G50</f>
        <v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 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y construye legal.
</v>
      </c>
      <c r="H50" t="str">
        <f>+Hoja2!H50</f>
        <v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se logró impactar 22 personas.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construye legal; a través de los anteriores servicios se logra impactar 300 personas. 
</v>
      </c>
    </row>
    <row r="51" spans="1:8" hidden="1" x14ac:dyDescent="0.2">
      <c r="A51">
        <f>+Hoja2!A51</f>
        <v>203928</v>
      </c>
      <c r="B51" s="13" t="str">
        <f>+MID(+Hoja2!B51,1,10)</f>
        <v>28/07/2021</v>
      </c>
      <c r="C51">
        <f>+VLOOKUP(D51,DepMaster!$B:$C,2,FALSE)</f>
        <v>732</v>
      </c>
      <c r="D51" t="str">
        <f>+Hoja2!C51</f>
        <v>Secretaría de Seguridad y Convivencia</v>
      </c>
      <c r="E51" s="15" t="str">
        <f>+MID(Hoja2!F51,1,2)</f>
        <v>06</v>
      </c>
      <c r="F51" t="str">
        <f>+MID(Hoja2!F51,4,20)</f>
        <v>DOCE DE OCTUBRE</v>
      </c>
      <c r="G51" t="str">
        <f>+Hoja2!G51</f>
        <v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realizó reunión con comandante encargado del CAI El Progreso para conocer y coordinar las problemáticas de algunos sectores.
-	En el sector los Piques del Doce de Octubre se evidencia tala de árboles masiva y se garantiza vigilancia constante para identificar el origen y las personas.
-	Se realiza recorrido con el capitán Diego García asignado a la estación del Doce de Octubre para contextualizar las problemáticas de la comuna y la oferta institucional de la secretaria de seguridad.
-	Articulación y recorrido con los líderes del colegio Alfredo Cock para socialización de actividades preventivas de delitos y comportamientos contrarios con los estudiantes, también se articula con Policía el acompañamiento en el horario de ingreso y salida debido al consumo de estupefacientes alrededor de la institución educativa.
-	Se obtiene información importante por parte de un líder de la comunidad quien suministra direcciones específicas, nombres y otros detalles relacionados a crimen organizado.
</v>
      </c>
      <c r="H51" t="str">
        <f>+Hoja2!H51</f>
        <v>-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v>
      </c>
    </row>
    <row r="52" spans="1:8" hidden="1" x14ac:dyDescent="0.2">
      <c r="A52">
        <f>+Hoja2!A52</f>
        <v>203928</v>
      </c>
      <c r="B52" s="13" t="str">
        <f>+MID(+Hoja2!B52,1,10)</f>
        <v>28/07/2021</v>
      </c>
      <c r="C52">
        <f>+VLOOKUP(D52,DepMaster!$B:$C,2,FALSE)</f>
        <v>732</v>
      </c>
      <c r="D52" t="str">
        <f>+Hoja2!C52</f>
        <v>Secretaría de Seguridad y Convivencia</v>
      </c>
      <c r="E52" s="15" t="str">
        <f>+MID(Hoja2!F52,1,2)</f>
        <v>07</v>
      </c>
      <c r="F52" t="str">
        <f>+MID(Hoja2!F52,4,20)</f>
        <v>ROBLEDO</v>
      </c>
      <c r="G52" t="str">
        <f>+Hoja2!G52</f>
        <v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El 22 de julio se desarrolló la jornada de articulación de la zona 2a mediante la socialización del Código Nacional de Seguridad y Convivencia, en el barrio Robledo El Diamante, esta actividad se desarrolla con el objetivo de incentivar la debida disposición de los residuos sólidos ordinarios y especiales en el sector. Se impactaron 60 personas.
-	Se realiza un festival de talentos (Canto, Baile y pintura) con niños y jóvenes de Villa Santafé de Antioquia. Es un sector priorizado en los planes de acción ya que se tiene una alta instrumentalización de ellos por los grupos delictivos.
</v>
      </c>
      <c r="H52" t="str">
        <f>+Hoja2!H52</f>
        <v>-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v>
      </c>
    </row>
    <row r="53" spans="1:8" hidden="1" x14ac:dyDescent="0.2">
      <c r="A53">
        <f>+Hoja2!A53</f>
        <v>203928</v>
      </c>
      <c r="B53" s="13" t="str">
        <f>+MID(+Hoja2!B53,1,10)</f>
        <v>28/07/2021</v>
      </c>
      <c r="C53">
        <f>+VLOOKUP(D53,DepMaster!$B:$C,2,FALSE)</f>
        <v>732</v>
      </c>
      <c r="D53" t="str">
        <f>+Hoja2!C53</f>
        <v>Secretaría de Seguridad y Convivencia</v>
      </c>
      <c r="E53" s="15" t="str">
        <f>+MID(Hoja2!F53,1,2)</f>
        <v>08</v>
      </c>
      <c r="F53" t="str">
        <f>+MID(Hoja2!F53,4,20)</f>
        <v>VILLA HERMOSA</v>
      </c>
      <c r="G53" t="str">
        <f>+Hoja2!G53</f>
        <v>-	Inscripción de candidatos a Los encuentros sectoriales y/o poblacionales para las Elecciones del Consejo Comunal y Corregimental de Planeación 2021, por el “Sector Barrismo”</v>
      </c>
      <c r="H53">
        <f>+Hoja2!H53</f>
        <v>0</v>
      </c>
    </row>
    <row r="54" spans="1:8" hidden="1" x14ac:dyDescent="0.2">
      <c r="A54">
        <f>+Hoja2!A54</f>
        <v>203928</v>
      </c>
      <c r="B54" s="13" t="str">
        <f>+MID(+Hoja2!B54,1,10)</f>
        <v>28/07/2021</v>
      </c>
      <c r="C54">
        <f>+VLOOKUP(D54,DepMaster!$B:$C,2,FALSE)</f>
        <v>732</v>
      </c>
      <c r="D54" t="str">
        <f>+Hoja2!C54</f>
        <v>Secretaría de Seguridad y Convivencia</v>
      </c>
      <c r="E54" s="15" t="str">
        <f>+MID(Hoja2!F54,1,2)</f>
        <v>09</v>
      </c>
      <c r="F54" t="str">
        <f>+MID(Hoja2!F54,4,20)</f>
        <v>BUENOS AIRES</v>
      </c>
      <c r="G54" t="str">
        <f>+Hoja2!G54</f>
        <v xml:space="preserve">-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	Inscripción de candidatos a Los encuentros sectoriales y/o poblacionales para las Elecciones del Consejo Comunal y Corregimental de Planeación 2021, por el “Sector Barrismo”
-	El día viernes 23 de julio se realizó Consejo de Convivencia Ciudadana en la Unidad Deportiva Miraflores con Policía Nacional, INDER, Secretaría de Seguridad y Convivencia y líderes del sector para abordar esta problemática; donde quedó como compromiso realizar campaña de residuos en articulación con la Unidad de Convivencia. Por su parte, la Policía Nacional aumentó el patrullaje en el sector para evitar consumo en espacios de sano esparcimiento.
-	Intervención tranvía y puestos de control
</v>
      </c>
      <c r="H54" t="str">
        <f>+Hoja2!H54</f>
        <v>-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En esta actividad participaron 75 personas.</v>
      </c>
    </row>
    <row r="55" spans="1:8" hidden="1" x14ac:dyDescent="0.2">
      <c r="A55">
        <f>+Hoja2!A55</f>
        <v>203928</v>
      </c>
      <c r="B55" s="13" t="str">
        <f>+MID(+Hoja2!B55,1,10)</f>
        <v>28/07/2021</v>
      </c>
      <c r="C55">
        <f>+VLOOKUP(D55,DepMaster!$B:$C,2,FALSE)</f>
        <v>732</v>
      </c>
      <c r="D55" t="str">
        <f>+Hoja2!C55</f>
        <v>Secretaría de Seguridad y Convivencia</v>
      </c>
      <c r="E55" s="15" t="str">
        <f>+MID(Hoja2!F55,1,2)</f>
        <v>10</v>
      </c>
      <c r="F55" t="str">
        <f>+MID(Hoja2!F55,4,20)</f>
        <v>LA CANDELARIA</v>
      </c>
      <c r="G55" t="str">
        <f>+Hoja2!G55</f>
        <v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	El 21 de Julio se realizó un encuentro al que asistió Seguridad del Centro Comercial Camino Real y se acordó reunir las otras entidades de los centros comerciales aledaños para la creación de la mesa de seguridad. También se solicita más presencia de uniformados en ciertos sectores de la   Comuna con respuesta positiva por parte de la Policía.
-	Acción integral centro, intervención bayadera y sagrado corazón y estupefacientes.
-	A la fecha se han sensibilizado 13 centros comerciales en cuanto a la regulación de los avisos publicitarios instalados en sus fachadas, se realiza pedagogía frente a cuáles son avisos de identificación y cuáles son comerciales que generan aprovechamiento económico del espacio público, sus dimensiones y sitios permitidos, en compañía de la Agencia App. Tales como: Unicentro, la Central, los Molinos, Monterrey, San Diego, Oviedo, el Tesoro, Almacentro, Camino Real, Diez centro de negocios, Corficolombiana, Ed Colmena, Palms Avenue. Y así mismo a cada uno de ellos se ha realizado visita  de control para verificación de los parámetros técnicos.
</v>
      </c>
      <c r="H55" t="str">
        <f>+Hoja2!H55</f>
        <v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Asistieron 25 personas.
</v>
      </c>
    </row>
    <row r="56" spans="1:8" hidden="1" x14ac:dyDescent="0.2">
      <c r="A56">
        <f>+Hoja2!A56</f>
        <v>203928</v>
      </c>
      <c r="B56" s="13" t="str">
        <f>+MID(+Hoja2!B56,1,10)</f>
        <v>28/07/2021</v>
      </c>
      <c r="C56">
        <f>+VLOOKUP(D56,DepMaster!$B:$C,2,FALSE)</f>
        <v>732</v>
      </c>
      <c r="D56" t="str">
        <f>+Hoja2!C56</f>
        <v>Secretaría de Seguridad y Convivencia</v>
      </c>
      <c r="E56" s="15" t="str">
        <f>+MID(Hoja2!F56,1,2)</f>
        <v>11</v>
      </c>
      <c r="F56" t="str">
        <f>+MID(Hoja2!F56,4,20)</f>
        <v>LAURELES</v>
      </c>
      <c r="G56" t="str">
        <f>+Hoja2!G56</f>
        <v xml:space="preserve">-	Inscripción de candidatos a Los encuentros sectoriales y/o poblacionales para las Elecciones del Consejo Comunal y Corregimental de Planeación 2021, por el “Sector Barrismo”
-	Medición de ruido para iniciar proceso sancionatorio en el corredor de la 70. 
-	Comando situacional, puesto de control y plan parques en toda la jurisdicción de la comuna.
-	Se realizó capacitación a las mujeres para lograr prevenir la violencia de género. Se realizó en articulación con la Secretaría de Mujeres.
-	Actividad recreativa en el barrio Los Colores, para la recuperación de los espacios del barrio por la comunidad.
-	Presentación de los planes, actividades y controles que se están efectuando en la comuna a los miembros de Asocomunal y líderes representativos de la comuna, para lograr efectuar más articulación y participación por parte de la comunidad y así mitigar la inseguridad en la comuna.
-	Comando situacional, plan parques y desmonte de cambuches
</v>
      </c>
      <c r="H56">
        <f>+Hoja2!H56</f>
        <v>0</v>
      </c>
    </row>
    <row r="57" spans="1:8" hidden="1" x14ac:dyDescent="0.2">
      <c r="A57">
        <f>+Hoja2!A57</f>
        <v>203928</v>
      </c>
      <c r="B57" s="13" t="str">
        <f>+MID(+Hoja2!B57,1,10)</f>
        <v>28/07/2021</v>
      </c>
      <c r="C57">
        <f>+VLOOKUP(D57,DepMaster!$B:$C,2,FALSE)</f>
        <v>732</v>
      </c>
      <c r="D57" t="str">
        <f>+Hoja2!C57</f>
        <v>Secretaría de Seguridad y Convivencia</v>
      </c>
      <c r="E57" s="15" t="str">
        <f>+MID(Hoja2!F57,1,2)</f>
        <v>12</v>
      </c>
      <c r="F57" t="str">
        <f>+MID(Hoja2!F57,4,20)</f>
        <v>LA AMERICA</v>
      </c>
      <c r="G57" t="str">
        <f>+Hoja2!G57</f>
        <v xml:space="preserve">-	Se realizó feria de servicios en el sector La Soledad con la participación de la Secretaría de Seguridad y Convivencia, Salud, Inclusión Social, Familia y DDHH y Mujeres.
-	Desmonte de cambuches
</v>
      </c>
      <c r="H57">
        <f>+Hoja2!H57</f>
        <v>0</v>
      </c>
    </row>
    <row r="58" spans="1:8" hidden="1" x14ac:dyDescent="0.2">
      <c r="A58">
        <f>+Hoja2!A58</f>
        <v>203928</v>
      </c>
      <c r="B58" s="13" t="str">
        <f>+MID(+Hoja2!B58,1,10)</f>
        <v>28/07/2021</v>
      </c>
      <c r="C58">
        <f>+VLOOKUP(D58,DepMaster!$B:$C,2,FALSE)</f>
        <v>732</v>
      </c>
      <c r="D58" t="str">
        <f>+Hoja2!C58</f>
        <v>Secretaría de Seguridad y Convivencia</v>
      </c>
      <c r="E58" s="15" t="str">
        <f>+MID(Hoja2!F58,1,2)</f>
        <v>13</v>
      </c>
      <c r="F58" t="str">
        <f>+MID(Hoja2!F58,4,20)</f>
        <v>SAN JAVIER</v>
      </c>
      <c r="G58" t="str">
        <f>+Hoja2!G58</f>
        <v xml:space="preserve">-	El 22 de Julio de 2021 se llevó a cabo actividad de promoción y prevención sobre las rutas de atención para el restablecimiento de los derechos de niños, niñas y adolescentes en la Institución Educativa Carlos Vieco.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v>
      </c>
      <c r="H58" t="str">
        <f>+Hoja2!H58</f>
        <v xml:space="preserve">-	El 22 de Julio de 2021 se llevó a cabo actividad de promoción y prevención sobre las rutas de atención para el restablecimiento de los derechos de niños, niñas y adolescentes en la Institución Educativa Carlos Vieco, lográndose impactar a 150 jóvenes.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Se visitaron un promedio de 28 establecimientos de comercio.
</v>
      </c>
    </row>
    <row r="59" spans="1:8" hidden="1" x14ac:dyDescent="0.2">
      <c r="A59">
        <f>+Hoja2!A59</f>
        <v>203928</v>
      </c>
      <c r="B59" s="13" t="str">
        <f>+MID(+Hoja2!B59,1,10)</f>
        <v>28/07/2021</v>
      </c>
      <c r="C59">
        <f>+VLOOKUP(D59,DepMaster!$B:$C,2,FALSE)</f>
        <v>732</v>
      </c>
      <c r="D59" t="str">
        <f>+Hoja2!C59</f>
        <v>Secretaría de Seguridad y Convivencia</v>
      </c>
      <c r="E59" s="15" t="str">
        <f>+MID(Hoja2!F59,1,2)</f>
        <v>14</v>
      </c>
      <c r="F59" t="str">
        <f>+MID(Hoja2!F59,4,20)</f>
        <v>EL POBLADO</v>
      </c>
      <c r="G59" t="str">
        <f>+Hoja2!G59</f>
        <v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	El día viernes 23 de Julio se realizó en Manila la campaña de autocuidado para evitar hurtos a celulares y pertenencias personales.
-	Desmonte de cambuches, acción integral Lleras e intervención movilidad
-	Se realizaron 185 visitas de control a los establecimientos de comercio regulados con el objetivo de hacer seguimiento al cumplimiento normativo de la instalación de los elementos publicitarios, posterior a esto se notificarán a los establecimientos que no se hayan ajustado a la norma requerimiento de desmonte de los elementos que incumplen.
</v>
      </c>
      <c r="H59" t="str">
        <f>+Hoja2!H59</f>
        <v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v>
      </c>
    </row>
    <row r="60" spans="1:8" hidden="1" x14ac:dyDescent="0.2">
      <c r="A60">
        <f>+Hoja2!A60</f>
        <v>203928</v>
      </c>
      <c r="B60" s="13" t="str">
        <f>+MID(+Hoja2!B60,1,10)</f>
        <v>28/07/2021</v>
      </c>
      <c r="C60">
        <f>+VLOOKUP(D60,DepMaster!$B:$C,2,FALSE)</f>
        <v>732</v>
      </c>
      <c r="D60" t="str">
        <f>+Hoja2!C60</f>
        <v>Secretaría de Seguridad y Convivencia</v>
      </c>
      <c r="E60" s="15" t="str">
        <f>+MID(Hoja2!F60,1,2)</f>
        <v>15</v>
      </c>
      <c r="F60" t="str">
        <f>+MID(Hoja2!F60,4,20)</f>
        <v>GUAYABAL</v>
      </c>
      <c r="G60" t="str">
        <f>+Hoja2!G60</f>
        <v xml:space="preserve">-	Aprobación de los proyectos de Convivencia PP 2.022 por el Consejo Comunal y Corregimental, para ser priorizado por la comunidad.
-	Se continúa la intervención enfocada en habitantes de calle en las comunas 15 y 16. Articulados con Inclusión Social, Familia y DDHH  y Emvarias. Se evidencia la disminución de presencia de habitantes de calle en puntos críticos, especialmente en la canalización de la carrera 65.
</v>
      </c>
      <c r="H60">
        <f>+Hoja2!H60</f>
        <v>0</v>
      </c>
    </row>
    <row r="61" spans="1:8" hidden="1" x14ac:dyDescent="0.2">
      <c r="A61">
        <f>+Hoja2!A61</f>
        <v>203928</v>
      </c>
      <c r="B61" s="13" t="str">
        <f>+MID(+Hoja2!B61,1,10)</f>
        <v>28/07/2021</v>
      </c>
      <c r="C61">
        <f>+VLOOKUP(D61,DepMaster!$B:$C,2,FALSE)</f>
        <v>732</v>
      </c>
      <c r="D61" t="str">
        <f>+Hoja2!C61</f>
        <v>Secretaría de Seguridad y Convivencia</v>
      </c>
      <c r="E61" s="15" t="str">
        <f>+MID(Hoja2!F61,1,2)</f>
        <v>16</v>
      </c>
      <c r="F61" t="str">
        <f>+MID(Hoja2!F61,4,20)</f>
        <v>BELEN</v>
      </c>
      <c r="G61" t="str">
        <f>+Hoja2!G61</f>
        <v>-	Se logró concretar un plan de acción para llevar toda la oferta institucional al barrio Zafra Sufre, afectado especialmente por la presencia de Grupos Delincuenciales (Violencias, desplazamiento, despojo, extorsión, microtráfico, etc.) y que viene liderando en el territorio la Secretaría de Seguridad en compañía de los líderes del barrio y ONG de la Comuna. El proyecto, concertado con líderes comunitarios, tendrá el nombre de "Zafra, territorio de Vida". El Plan iniciará con las primeras actividades el próximo 1 de agosto, pero el evento de inicio o lanzamiento será un "Concierto por la Vida" que tendrá lugar en la Cancha del Barrio y que espera contar con la presencia de los Secretarios de las distintas dependencias que se han integrado.</v>
      </c>
      <c r="H61">
        <f>+Hoja2!H61</f>
        <v>0</v>
      </c>
    </row>
    <row r="62" spans="1:8" hidden="1" x14ac:dyDescent="0.2">
      <c r="A62">
        <f>+Hoja2!A62</f>
        <v>203928</v>
      </c>
      <c r="B62" s="13" t="str">
        <f>+MID(+Hoja2!B62,1,10)</f>
        <v>28/07/2021</v>
      </c>
      <c r="C62">
        <f>+VLOOKUP(D62,DepMaster!$B:$C,2,FALSE)</f>
        <v>732</v>
      </c>
      <c r="D62" t="str">
        <f>+Hoja2!C62</f>
        <v>Secretaría de Seguridad y Convivencia</v>
      </c>
      <c r="E62" s="15" t="str">
        <f>+MID(Hoja2!F62,1,2)</f>
        <v>50</v>
      </c>
      <c r="F62" t="str">
        <f>+MID(Hoja2!F62,4,20)</f>
        <v>PALMITAS</v>
      </c>
      <c r="G62" t="str">
        <f>+Hoja2!G62</f>
        <v xml:space="preserve">-	Visita a los establecimientos comerciales del corregimiento, verificando que contarán con todos los documentos que exige la ley, además se realiza campaña de prevención de la extorsión. Impacto: 
-	Se participa en la Feria de Servicios Interinstitucional llevada a cabo en la vereda La Sucia. 
-	Se gestiona espacio para los "Escuchaderos" de la Secretaría de Salud.
-	Intervención a piques
</v>
      </c>
      <c r="H62" t="str">
        <f>+Hoja2!H62</f>
        <v xml:space="preserve">-	Visita a los establecimientos comerciales del corregimiento, verificando que contarán con todos los documentos que exige la ley, además se realiza campaña de prevención de la extorsión. Impacto: 18 Propietarios y/o administradores.
</v>
      </c>
    </row>
    <row r="63" spans="1:8" x14ac:dyDescent="0.2">
      <c r="A63">
        <f>+Hoja2!A63</f>
        <v>203928</v>
      </c>
      <c r="B63" s="13" t="str">
        <f>+MID(+Hoja2!B63,1,10)</f>
        <v>28/07/2021</v>
      </c>
      <c r="C63">
        <f>+VLOOKUP(D63,DepMaster!$B:$C,2,FALSE)</f>
        <v>732</v>
      </c>
      <c r="D63" t="str">
        <f>+Hoja2!C63</f>
        <v>Secretaría de Seguridad y Convivencia</v>
      </c>
      <c r="E63" s="15" t="str">
        <f>+MID(Hoja2!F63,1,2)</f>
        <v>60</v>
      </c>
      <c r="F63" t="str">
        <f>+MID(Hoja2!F63,4,20)</f>
        <v>SAN CRISTOBAL</v>
      </c>
      <c r="G63" t="str">
        <f>+Hoja2!G63</f>
        <v xml:space="preserve">-	Se realiza visitas a los establecimientos comerciales del corregimiento del sector de la calle del comercio "Calle 63", realizando campaña de prevención de la extorsión. Impacto: 30 Propietarios y/o administradores.
-	Se gestiona espacio para los "Escuchaderos" de la Secretaría de Salud
</v>
      </c>
      <c r="H63">
        <f>+Hoja2!H63</f>
        <v>0</v>
      </c>
    </row>
    <row r="64" spans="1:8" hidden="1" x14ac:dyDescent="0.2">
      <c r="A64">
        <f>+Hoja2!A64</f>
        <v>203928</v>
      </c>
      <c r="B64" s="13" t="str">
        <f>+MID(+Hoja2!B64,1,10)</f>
        <v>28/07/2021</v>
      </c>
      <c r="C64">
        <f>+VLOOKUP(D64,DepMaster!$B:$C,2,FALSE)</f>
        <v>732</v>
      </c>
      <c r="D64" t="str">
        <f>+Hoja2!C64</f>
        <v>Secretaría de Seguridad y Convivencia</v>
      </c>
      <c r="E64" s="15" t="str">
        <f>+MID(Hoja2!F64,1,2)</f>
        <v>80</v>
      </c>
      <c r="F64" t="str">
        <f>+MID(Hoja2!F64,4,20)</f>
        <v>SAN ANTONIO DE PRADO</v>
      </c>
      <c r="G64" t="str">
        <f>+Hoja2!G64</f>
        <v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	El 21 de julio se recopilan en el taller de competencias ciudadanas realizado en la Granjas, experiencias significativas con habitantes de calle que le apostaron a una segunda oportunidad en su proyecto social de vida.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	Articulación con la Subsecretaría de Derechos Humanos, con el fin de intervenir en el proyecto de PP - Secretaría de Seguridad, para participar en la formación de los jóvenes de la Cívica Juvenil.
-	Articulación con PRECI, con el fin de realizar actividades de PyP, en los Establecimientos Educativos.
-	Reunión con el Rector de 6 Centros Educativos de la ruralidad, con el objetivo de intervenir en las veredas. En esta actividad se articula con los Escuchaderos, se iniciará en las veredas Montañitas y el Salado.
</v>
      </c>
      <c r="H64" t="str">
        <f>+Hoja2!H64</f>
        <v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Se impactaron en el lugar 35 personas aproximadamente.
-	El 21 de julio se recopilan en el taller de competencias ciudadanas realizado en la Granjas, experiencias significativas con habitantes de calle que le apostaron a una segunda oportunidad en su proyecto social de vida. Participaron de esta actividad 18 personas.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Participaron de la reunión 14 personas. 
</v>
      </c>
    </row>
    <row r="65" spans="1:8" hidden="1" x14ac:dyDescent="0.2">
      <c r="A65">
        <f>+Hoja2!A65</f>
        <v>203928</v>
      </c>
      <c r="B65" s="13" t="str">
        <f>+MID(+Hoja2!B65,1,10)</f>
        <v>28/07/2021</v>
      </c>
      <c r="C65">
        <f>+VLOOKUP(D65,DepMaster!$B:$C,2,FALSE)</f>
        <v>732</v>
      </c>
      <c r="D65" t="str">
        <f>+Hoja2!C65</f>
        <v>Secretaría de Seguridad y Convivencia</v>
      </c>
      <c r="E65" s="15" t="str">
        <f>+MID(Hoja2!F65,1,2)</f>
        <v>90</v>
      </c>
      <c r="F65" t="str">
        <f>+MID(Hoja2!F65,4,20)</f>
        <v>SANTA ELENA</v>
      </c>
      <c r="G65" t="str">
        <f>+Hoja2!G65</f>
        <v xml:space="preserve">-	Miércoles 21 de julio: Reunión pre feria de flores con el subsecretario de cultura.
-	Sábado 24 reunión Asocomunal: información frente de seguridad con líderes.
-	Recorrido territorio Santa Elena con los Subsecretarios de Operativa de Seguridad, Convivencia, Espacio Público, Policía y Movilidad.
-	Comando situacional
</v>
      </c>
      <c r="H65">
        <f>+Hoja2!H65</f>
        <v>0</v>
      </c>
    </row>
    <row r="66" spans="1:8" hidden="1" x14ac:dyDescent="0.2">
      <c r="A66">
        <f>+Hoja2!A66</f>
        <v>203937</v>
      </c>
      <c r="B66" s="13" t="str">
        <f>+MID(+Hoja2!B66,1,10)</f>
        <v>28/07/2021</v>
      </c>
      <c r="C66">
        <f>+VLOOKUP(D66,DepMaster!$B:$C,2,FALSE)</f>
        <v>724</v>
      </c>
      <c r="D66" t="str">
        <f>+Hoja2!C66</f>
        <v>Secretaría de la Juventud</v>
      </c>
      <c r="E66" s="15" t="str">
        <f>+MID(Hoja2!F66,1,2)</f>
        <v>16</v>
      </c>
      <c r="F66" t="str">
        <f>+MID(Hoja2!F66,4,20)</f>
        <v>BELEN</v>
      </c>
      <c r="G66" t="str">
        <f>+Hoja2!G66</f>
        <v>Acompañamiento a la I.E. Rosalía Suarez en la celebración del día de la Juventud Participación Secretaría de la Juventud en los días de la Juventud de la I.E. Rosalía Suarez. Esta actividad se realizará el día 29 de julio.</v>
      </c>
      <c r="H66" t="str">
        <f>+Hoja2!H66</f>
        <v>Se espera contar con la participación de 100 jóvenes.</v>
      </c>
    </row>
    <row r="67" spans="1:8" hidden="1" x14ac:dyDescent="0.2">
      <c r="A67">
        <f>+Hoja2!A67</f>
        <v>203937</v>
      </c>
      <c r="B67" s="13" t="str">
        <f>+MID(+Hoja2!B67,1,10)</f>
        <v>28/07/2021</v>
      </c>
      <c r="C67">
        <f>+VLOOKUP(D67,DepMaster!$B:$C,2,FALSE)</f>
        <v>724</v>
      </c>
      <c r="D67" t="str">
        <f>+Hoja2!C67</f>
        <v>Secretaría de la Juventud</v>
      </c>
      <c r="E67" s="15" t="str">
        <f>+MID(Hoja2!F67,1,2)</f>
        <v>16</v>
      </c>
      <c r="F67" t="str">
        <f>+MID(Hoja2!F67,4,20)</f>
        <v>BELEN</v>
      </c>
      <c r="G67" t="str">
        <f>+Hoja2!G67</f>
        <v>El día 29 de julio estaremos acompañando el conversatorio de paz y reconciliación. Actividad propuesta por UN, RedePaz, Red de Líderes y Personeros.</v>
      </c>
      <c r="H67" t="str">
        <f>+Hoja2!H67</f>
        <v>Se espera contar con la participación de 60 jóvenes.</v>
      </c>
    </row>
    <row r="68" spans="1:8" hidden="1" x14ac:dyDescent="0.2">
      <c r="A68">
        <f>+Hoja2!A68</f>
        <v>203937</v>
      </c>
      <c r="B68" s="13" t="str">
        <f>+MID(+Hoja2!B68,1,10)</f>
        <v>28/07/2021</v>
      </c>
      <c r="C68">
        <f>+VLOOKUP(D68,DepMaster!$B:$C,2,FALSE)</f>
        <v>724</v>
      </c>
      <c r="D68" t="str">
        <f>+Hoja2!C68</f>
        <v>Secretaría de la Juventud</v>
      </c>
      <c r="E68" s="15" t="str">
        <f>+MID(Hoja2!F68,1,2)</f>
        <v>16</v>
      </c>
      <c r="F68" t="str">
        <f>+MID(Hoja2!F68,4,20)</f>
        <v>BELEN</v>
      </c>
      <c r="G68" t="str">
        <f>+Hoja2!G68</f>
        <v xml:space="preserve">Inauguración Belén Zafra. Se apoya la planeación y ejecución del acto inaugural que determina una estrategia de expectativas, para la ejecución del Plan de Acción en Belén Zafra.
</v>
      </c>
      <c r="H68" t="str">
        <f>+Hoja2!H68</f>
        <v>Se espera contar con la participación de 50 jóvenes.</v>
      </c>
    </row>
    <row r="69" spans="1:8" hidden="1" x14ac:dyDescent="0.2">
      <c r="A69">
        <f>+Hoja2!A69</f>
        <v>203939</v>
      </c>
      <c r="B69" s="13" t="str">
        <f>+MID(+Hoja2!B69,1,10)</f>
        <v>28/07/2021</v>
      </c>
      <c r="C69">
        <f>+VLOOKUP(D69,DepMaster!$B:$C,2,FALSE)</f>
        <v>771</v>
      </c>
      <c r="D69" t="str">
        <f>+Hoja2!C69</f>
        <v>Gerencia del Centro</v>
      </c>
      <c r="E69" s="15" t="str">
        <f>+MID(Hoja2!F69,1,2)</f>
        <v>10</v>
      </c>
      <c r="F69" t="str">
        <f>+MID(Hoja2!F69,4,20)</f>
        <v>LA CANDELARIA</v>
      </c>
      <c r="G69" t="str">
        <f>+Hoja2!G69</f>
        <v>Avances en Divulgación de acciones de la Gerencia</v>
      </c>
      <c r="H69" t="str">
        <f>+Hoja2!H69</f>
        <v>Las publicaciones alcanzaron estas estadísticas en la última semana Número de Publicaciones: 28 Twitter 11.800 impresiones y 977 interacciones. Instagram 4.700 impresiones y 54 acciones Facebook 1.069 personas alcanzadas y 576 interacciones.</v>
      </c>
    </row>
    <row r="70" spans="1:8" hidden="1" x14ac:dyDescent="0.2">
      <c r="A70">
        <f>+Hoja2!A70</f>
        <v>203939</v>
      </c>
      <c r="B70" s="13" t="str">
        <f>+MID(+Hoja2!B70,1,10)</f>
        <v>28/07/2021</v>
      </c>
      <c r="C70">
        <f>+VLOOKUP(D70,DepMaster!$B:$C,2,FALSE)</f>
        <v>771</v>
      </c>
      <c r="D70" t="str">
        <f>+Hoja2!C70</f>
        <v>Gerencia del Centro</v>
      </c>
      <c r="E70" s="15" t="str">
        <f>+MID(Hoja2!F70,1,2)</f>
        <v>10</v>
      </c>
      <c r="F70" t="str">
        <f>+MID(Hoja2!F70,4,20)</f>
        <v>LA CANDELARIA</v>
      </c>
      <c r="G70" t="str">
        <f>+Hoja2!G70</f>
        <v>Brigada Interinstitucional Centro Consentido</v>
      </c>
      <c r="H70" t="str">
        <f>+Hoja2!H70</f>
        <v xml:space="preserve">Brigada CentroConSentido en el Barrio Colón, contamos con lo siguiente.
•	COMPONENTE TÉCNICO -  SOCIAL
•	EMVARIAS: Carro tanque, personal de barrido y Cuadrilla de rocería
•	Policía Ambiental
•	Secretaría de Infraestructura Física: cuadrilla de rocería
•	Ejército nacional: 10 soldados para labores operativa
•	Secretaría del Medio Ambiente: equipo coordinador Comité de Aseo y Ornato
•	Grupo de intervenciones Ambientales: equipo operativo y suministro material fungible.
•	Desde el acompañamiento social. Contamos con más de 10 dependencias de la alcaldía de Medellín, más de 80 funcionarios llevando toda la oferta institucional. Para esta brigada integral beneficiamos 200 personas del sector La Corraleja.
</v>
      </c>
    </row>
    <row r="71" spans="1:8" hidden="1" x14ac:dyDescent="0.2">
      <c r="A71">
        <f>+Hoja2!A71</f>
        <v>203945</v>
      </c>
      <c r="B71" s="13" t="str">
        <f>+MID(+Hoja2!B71,1,10)</f>
        <v>28/07/2021</v>
      </c>
      <c r="C71">
        <f>+VLOOKUP(D71,DepMaster!$B:$C,2,FALSE)</f>
        <v>954</v>
      </c>
      <c r="D71" t="str">
        <f>+Hoja2!C71</f>
        <v>Gerencia de Etnias</v>
      </c>
      <c r="E71" s="15" t="str">
        <f>+MID(Hoja2!F71,1,2)</f>
        <v>10</v>
      </c>
      <c r="F71" t="str">
        <f>+MID(Hoja2!F71,4,20)</f>
        <v>LA CANDELARIA</v>
      </c>
      <c r="G71" t="str">
        <f>+Hoja2!G71</f>
        <v xml:space="preserve">Atención del caso relacionado con el traslado de familias indígenas de la etnia Embera residentes en albergues con auxilio habitacional. </v>
      </c>
      <c r="H71" t="str">
        <f>+Hoja2!H71</f>
        <v xml:space="preserve">En el marco de esta acción se brindó atención y apoyo a cerca de 70 personas pertenecientes a 23 familias de la etnia Embera, gracias a lo cual se logró que se extendiera por 1 mes mas el auxilio habitacional, evitando con esto que estas personas quedaran en situación de calle. </v>
      </c>
    </row>
    <row r="72" spans="1:8" hidden="1" x14ac:dyDescent="0.2">
      <c r="A72">
        <f>+Hoja2!A72</f>
        <v>204005</v>
      </c>
      <c r="B72" s="13" t="str">
        <f>+MID(+Hoja2!B72,1,10)</f>
        <v>28/07/2021</v>
      </c>
      <c r="C72">
        <f>+VLOOKUP(D72,DepMaster!$B:$C,2,FALSE)</f>
        <v>711</v>
      </c>
      <c r="D72" t="str">
        <f>+Hoja2!C72</f>
        <v>Secretaría de Educación</v>
      </c>
      <c r="E72" s="15" t="str">
        <f>+MID(Hoja2!F72,1,2)</f>
        <v>05</v>
      </c>
      <c r="F72" t="str">
        <f>+MID(Hoja2!F72,4,20)</f>
        <v>CASTILLA</v>
      </c>
      <c r="G72" t="str">
        <f>+Hoja2!G72</f>
        <v>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v>
      </c>
      <c r="H72" t="str">
        <f>+Hoja2!H72</f>
        <v>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v>
      </c>
    </row>
    <row r="73" spans="1:8" hidden="1" x14ac:dyDescent="0.2">
      <c r="A73">
        <f>+Hoja2!A73</f>
        <v>204005</v>
      </c>
      <c r="B73" s="13" t="str">
        <f>+MID(+Hoja2!B73,1,10)</f>
        <v>28/07/2021</v>
      </c>
      <c r="C73">
        <f>+VLOOKUP(D73,DepMaster!$B:$C,2,FALSE)</f>
        <v>711</v>
      </c>
      <c r="D73" t="str">
        <f>+Hoja2!C73</f>
        <v>Secretaría de Educación</v>
      </c>
      <c r="E73" s="15" t="str">
        <f>+MID(Hoja2!F73,1,2)</f>
        <v>06</v>
      </c>
      <c r="F73" t="str">
        <f>+MID(Hoja2!F73,4,20)</f>
        <v>DOCE DE OCTUBRE</v>
      </c>
      <c r="G73" t="str">
        <f>+Hoja2!G73</f>
        <v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v>
      </c>
      <c r="H73" t="str">
        <f>+Hoja2!H73</f>
        <v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v>
      </c>
    </row>
    <row r="74" spans="1:8" hidden="1" x14ac:dyDescent="0.2">
      <c r="A74">
        <f>+Hoja2!A74</f>
        <v>204005</v>
      </c>
      <c r="B74" s="13" t="str">
        <f>+MID(+Hoja2!B74,1,10)</f>
        <v>28/07/2021</v>
      </c>
      <c r="C74">
        <f>+VLOOKUP(D74,DepMaster!$B:$C,2,FALSE)</f>
        <v>711</v>
      </c>
      <c r="D74" t="str">
        <f>+Hoja2!C74</f>
        <v>Secretaría de Educación</v>
      </c>
      <c r="E74" s="15" t="str">
        <f>+MID(Hoja2!F74,1,2)</f>
        <v>07</v>
      </c>
      <c r="F74" t="str">
        <f>+MID(Hoja2!F74,4,20)</f>
        <v>ROBLEDO</v>
      </c>
      <c r="G74" t="str">
        <f>+Hoja2!G74</f>
        <v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v>
      </c>
      <c r="H74" t="str">
        <f>+Hoja2!H74</f>
        <v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v>
      </c>
    </row>
    <row r="75" spans="1:8" hidden="1" x14ac:dyDescent="0.2">
      <c r="A75">
        <f>+Hoja2!A75</f>
        <v>204005</v>
      </c>
      <c r="B75" s="13" t="str">
        <f>+MID(+Hoja2!B75,1,10)</f>
        <v>28/07/2021</v>
      </c>
      <c r="C75">
        <f>+VLOOKUP(D75,DepMaster!$B:$C,2,FALSE)</f>
        <v>711</v>
      </c>
      <c r="D75" t="str">
        <f>+Hoja2!C75</f>
        <v>Secretaría de Educación</v>
      </c>
      <c r="E75" s="15" t="str">
        <f>+MID(Hoja2!F75,1,2)</f>
        <v>80</v>
      </c>
      <c r="F75" t="str">
        <f>+MID(Hoja2!F75,4,20)</f>
        <v>SAN ANTONIO DE PRADO</v>
      </c>
      <c r="G75" t="str">
        <f>+Hoja2!G75</f>
        <v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v>
      </c>
      <c r="H75" t="str">
        <f>+Hoja2!H75</f>
        <v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v>
      </c>
    </row>
    <row r="76" spans="1:8" x14ac:dyDescent="0.2">
      <c r="A76">
        <f>+Hoja2!A76</f>
        <v>204005</v>
      </c>
      <c r="B76" s="13" t="str">
        <f>+MID(+Hoja2!B76,1,10)</f>
        <v>28/07/2021</v>
      </c>
      <c r="C76">
        <f>+VLOOKUP(D76,DepMaster!$B:$C,2,FALSE)</f>
        <v>711</v>
      </c>
      <c r="D76" t="str">
        <f>+Hoja2!C76</f>
        <v>Secretaría de Educación</v>
      </c>
      <c r="E76" s="15" t="str">
        <f>+MID(Hoja2!F76,1,2)</f>
        <v>60</v>
      </c>
      <c r="F76" t="str">
        <f>+MID(Hoja2!F76,4,20)</f>
        <v>SAN CRISTOBAL</v>
      </c>
      <c r="G76" t="str">
        <f>+Hoja2!G76</f>
        <v>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v>
      </c>
      <c r="H76" t="str">
        <f>+Hoja2!H76</f>
        <v>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v>
      </c>
    </row>
    <row r="77" spans="1:8" hidden="1" x14ac:dyDescent="0.2">
      <c r="A77">
        <f>+Hoja2!A77</f>
        <v>204013</v>
      </c>
      <c r="B77" s="13" t="str">
        <f>+MID(+Hoja2!B77,1,10)</f>
        <v>28/07/2021</v>
      </c>
      <c r="C77">
        <f>+VLOOKUP(D77,DepMaster!$B:$C,2,FALSE)</f>
        <v>706</v>
      </c>
      <c r="D77" t="str">
        <f>+Hoja2!C77</f>
        <v>Secretaría de Gestión Humana y Servicio a la Ciudadanía</v>
      </c>
      <c r="E77" s="15" t="str">
        <f>+MID(Hoja2!F77,1,2)</f>
        <v>10</v>
      </c>
      <c r="F77" t="str">
        <f>+MID(Hoja2!F77,4,20)</f>
        <v>LA CANDELARIA</v>
      </c>
      <c r="G77" t="str">
        <f>+Hoja2!G77</f>
        <v>N/A</v>
      </c>
      <c r="H77" t="str">
        <f>+Hoja2!H77</f>
        <v>N/A</v>
      </c>
    </row>
    <row r="78" spans="1:8" hidden="1" x14ac:dyDescent="0.2">
      <c r="A78">
        <f>+Hoja2!A78</f>
        <v>204033</v>
      </c>
      <c r="B78" s="13" t="str">
        <f>+MID(+Hoja2!B78,1,10)</f>
        <v>28/07/2021</v>
      </c>
      <c r="C78">
        <f>+VLOOKUP(D78,DepMaster!$B:$C,2,FALSE)</f>
        <v>714</v>
      </c>
      <c r="D78" t="str">
        <f>+Hoja2!C78</f>
        <v>Buen Comienzo</v>
      </c>
      <c r="E78" s="15" t="str">
        <f>+MID(Hoja2!F78,1,2)</f>
        <v>02</v>
      </c>
      <c r="F78" t="str">
        <f>+MID(Hoja2!F78,4,20)</f>
        <v>SANTA CRUZ</v>
      </c>
      <c r="G78" t="str">
        <f>+Hoja2!G78</f>
        <v>Implementación  del plan de acompañamiento psicopedagógico para las familias del barrio Santa Cruz - Pequeños Exploradores.</v>
      </c>
      <c r="H78" t="str">
        <f>+Hoja2!H78</f>
        <v>Se atendieron 75 familias.</v>
      </c>
    </row>
    <row r="79" spans="1:8" hidden="1" x14ac:dyDescent="0.2">
      <c r="A79">
        <f>+Hoja2!A79</f>
        <v>204084</v>
      </c>
      <c r="B79" s="13" t="str">
        <f>+MID(+Hoja2!B79,1,10)</f>
        <v>28/07/2021</v>
      </c>
      <c r="C79">
        <f>+VLOOKUP(D79,DepMaster!$B:$C,2,FALSE)</f>
        <v>706</v>
      </c>
      <c r="D79" t="str">
        <f>+Hoja2!C79</f>
        <v>Secretaría de Gestión Humana y Servicio a la Ciudadanía</v>
      </c>
      <c r="E79" s="15" t="str">
        <f>+MID(Hoja2!F79,1,2)</f>
        <v>10</v>
      </c>
      <c r="F79" t="str">
        <f>+MID(Hoja2!F79,4,20)</f>
        <v>LA CANDELARIA</v>
      </c>
      <c r="G79" t="str">
        <f>+Hoja2!G79</f>
        <v>N/A</v>
      </c>
      <c r="H79" t="str">
        <f>+Hoja2!H79</f>
        <v>N/A</v>
      </c>
    </row>
    <row r="80" spans="1:8" hidden="1" x14ac:dyDescent="0.2">
      <c r="A80">
        <f>+Hoja2!A80</f>
        <v>204110</v>
      </c>
      <c r="B80" s="13" t="str">
        <f>+MID(+Hoja2!B80,1,10)</f>
        <v>28/07/2021</v>
      </c>
      <c r="C80">
        <f>+VLOOKUP(D80,DepMaster!$B:$C,2,FALSE)</f>
        <v>752</v>
      </c>
      <c r="D80" t="str">
        <f>+Hoja2!C80</f>
        <v>Secretaria de Innovación Digital</v>
      </c>
      <c r="E80" s="15" t="str">
        <f>+MID(Hoja2!F80,1,2)</f>
        <v>50</v>
      </c>
      <c r="F80" t="str">
        <f>+MID(Hoja2!F80,4,20)</f>
        <v>PALMITAS</v>
      </c>
      <c r="G80" t="str">
        <f>+Hoja2!G80</f>
        <v xml:space="preserve">Servicios de conectividad a Internet mediante Prueba Piloto del servicio White Space, vereda La Frisola
</v>
      </c>
      <c r="H80" t="str">
        <f>+Hoja2!H80</f>
        <v xml:space="preserve">1800 habitantes de la vereda serán impactadas por el piloto
</v>
      </c>
    </row>
    <row r="81" spans="1:8" hidden="1" x14ac:dyDescent="0.2">
      <c r="A81">
        <f>+Hoja2!A81</f>
        <v>204110</v>
      </c>
      <c r="B81" s="13" t="str">
        <f>+MID(+Hoja2!B81,1,10)</f>
        <v>28/07/2021</v>
      </c>
      <c r="C81">
        <f>+VLOOKUP(D81,DepMaster!$B:$C,2,FALSE)</f>
        <v>752</v>
      </c>
      <c r="D81" t="str">
        <f>+Hoja2!C81</f>
        <v>Secretaria de Innovación Digital</v>
      </c>
      <c r="E81" s="15" t="str">
        <f>+MID(Hoja2!F81,1,2)</f>
        <v>13</v>
      </c>
      <c r="F81" t="str">
        <f>+MID(Hoja2!F81,4,20)</f>
        <v>SAN JAVIER</v>
      </c>
      <c r="G81" t="str">
        <f>+Hoja2!G81</f>
        <v xml:space="preserve">Se alcanzó un avance del 80% en las actividades de instalación, conexión y configuración de los equipos de red en la Biblioteca San Javier (sitio seleccionado para funcionar como centro de operación de la red); con estas actividades se da inicio a la fase de implementación del piloto a realizar en el barrio el Salado parte alta.
</v>
      </c>
      <c r="H81" t="str">
        <f>+Hoja2!H81</f>
        <v>500 hogares beneficiados</v>
      </c>
    </row>
    <row r="82" spans="1:8" hidden="1" x14ac:dyDescent="0.2">
      <c r="A82">
        <f>+Hoja2!A82</f>
        <v>204113</v>
      </c>
      <c r="B82" s="13" t="str">
        <f>+MID(+Hoja2!B82,1,10)</f>
        <v>28/07/2021</v>
      </c>
      <c r="C82">
        <f>+VLOOKUP(D82,DepMaster!$B:$C,2,FALSE)</f>
        <v>722</v>
      </c>
      <c r="D82" t="str">
        <f>+Hoja2!C82</f>
        <v>Secretaría de Inclusión, Familia y Derechos Humanos</v>
      </c>
      <c r="E82" s="15" t="str">
        <f>+MID(Hoja2!F82,1,2)</f>
        <v>15</v>
      </c>
      <c r="F82" t="str">
        <f>+MID(Hoja2!F82,4,20)</f>
        <v>GUAYABAL</v>
      </c>
      <c r="G82" t="str">
        <f>+Hoja2!G82</f>
        <v>Con el objetivo de generar acciones conjuntas en el territorio, el pasado 23 y 24 de julio se participó como unidad en las ferias institucionales realizadas desde la Gerencia del Centro con Centro con Sentido, Isvimed en La Corraleja y en la Feria Interinstitucional de la Comuna 15 Guayabal. Con la presencia del equipo de migrantes y el componente de calle, escuchamos a la comunidad y compartimos la oferta institucional disponible para los diferentes grupos poblacionales.</v>
      </c>
      <c r="H82" t="str">
        <f>+Hoja2!H82</f>
        <v>N/A</v>
      </c>
    </row>
    <row r="83" spans="1:8" hidden="1" x14ac:dyDescent="0.2">
      <c r="A83">
        <f>+Hoja2!A83</f>
        <v>204113</v>
      </c>
      <c r="B83" s="13" t="str">
        <f>+MID(+Hoja2!B83,1,10)</f>
        <v>28/07/2021</v>
      </c>
      <c r="C83">
        <f>+VLOOKUP(D83,DepMaster!$B:$C,2,FALSE)</f>
        <v>722</v>
      </c>
      <c r="D83" t="str">
        <f>+Hoja2!C83</f>
        <v>Secretaría de Inclusión, Familia y Derechos Humanos</v>
      </c>
      <c r="E83" s="15" t="str">
        <f>+MID(Hoja2!F83,1,2)</f>
        <v>02</v>
      </c>
      <c r="F83" t="str">
        <f>+MID(Hoja2!F83,4,20)</f>
        <v>SANTA CRUZ</v>
      </c>
      <c r="G83" t="str">
        <f>+Hoja2!G83</f>
        <v xml:space="preserve">LOGRO: participamos en la Feria de Servicios que se realizó en el barrio Santa Cruz, sector La Rosa. Allí se acercó la oferta institucional que tenemos como equipo a la comunidad e hicimos entrega de formatos para postulación al subsidio de Colombia Mayor.
COMUNA: 2
FECHA: 23 de julio
</v>
      </c>
      <c r="H83" t="str">
        <f>+Hoja2!H83</f>
        <v xml:space="preserve"> 16 personas</v>
      </c>
    </row>
    <row r="84" spans="1:8" hidden="1" x14ac:dyDescent="0.2">
      <c r="A84">
        <f>+Hoja2!A84</f>
        <v>204113</v>
      </c>
      <c r="B84" s="13" t="str">
        <f>+MID(+Hoja2!B84,1,10)</f>
        <v>28/07/2021</v>
      </c>
      <c r="C84">
        <f>+VLOOKUP(D84,DepMaster!$B:$C,2,FALSE)</f>
        <v>722</v>
      </c>
      <c r="D84" t="str">
        <f>+Hoja2!C84</f>
        <v>Secretaría de Inclusión, Familia y Derechos Humanos</v>
      </c>
      <c r="E84" s="15" t="str">
        <f>+MID(Hoja2!F84,1,2)</f>
        <v>06</v>
      </c>
      <c r="F84" t="str">
        <f>+MID(Hoja2!F84,4,20)</f>
        <v>DOCE DE OCTUBRE</v>
      </c>
      <c r="G84" t="str">
        <f>+Hoja2!G84</f>
        <v xml:space="preserve">
LOGRO: protección y restablecimiento de derechos a personas mayores
ACTIVIDAD: traslado desde la vivienda e ingreso a instituciones del modelo larga estancia y Dormitorio Social.
COMUNA: 6, 7 y 10
FECHA: del 21 al 28 de julio
</v>
      </c>
      <c r="H84" t="str">
        <f>+Hoja2!H84</f>
        <v>7 personas mayores</v>
      </c>
    </row>
    <row r="85" spans="1:8" x14ac:dyDescent="0.2">
      <c r="A85">
        <f>+Hoja2!A85</f>
        <v>204113</v>
      </c>
      <c r="B85" s="13" t="str">
        <f>+MID(+Hoja2!B85,1,10)</f>
        <v>28/07/2021</v>
      </c>
      <c r="C85">
        <f>+VLOOKUP(D85,DepMaster!$B:$C,2,FALSE)</f>
        <v>722</v>
      </c>
      <c r="D85" t="str">
        <f>+Hoja2!C85</f>
        <v>Secretaría de Inclusión, Familia y Derechos Humanos</v>
      </c>
      <c r="E85" s="15" t="str">
        <f>+MID(Hoja2!F85,1,2)</f>
        <v>60</v>
      </c>
      <c r="F85" t="str">
        <f>+MID(Hoja2!F85,4,20)</f>
        <v>SAN CRISTOBAL</v>
      </c>
      <c r="G85" t="str">
        <f>+Hoja2!G85</f>
        <v xml:space="preserve">LOGRO 1: Fortalecimiento Unidades Productivas. 
ACTIVIDAD: Se alcanza a dar inicio a la caracterización y plan de actividades para el fortalecimiento de unidades productivas, que son acompañados por la Unidad Familia Medellín para la superación de pobreza extrema. (Iniciativa liderada y articulada desde la gestión territorial CIF).
COMUNA: 60- Corregimiento de San Cristóbal
FECHA: Del 18 al 24 de julio del 2021.
</v>
      </c>
      <c r="H85" t="str">
        <f>+Hoja2!H85</f>
        <v xml:space="preserve">43 hogares en proceso de caracterización para fortalecimiento de unidades productivas.
</v>
      </c>
    </row>
    <row r="86" spans="1:8" hidden="1" x14ac:dyDescent="0.2">
      <c r="A86">
        <f>+Hoja2!A86</f>
        <v>204113</v>
      </c>
      <c r="B86" s="13" t="str">
        <f>+MID(+Hoja2!B86,1,10)</f>
        <v>28/07/2021</v>
      </c>
      <c r="C86">
        <f>+VLOOKUP(D86,DepMaster!$B:$C,2,FALSE)</f>
        <v>722</v>
      </c>
      <c r="D86" t="str">
        <f>+Hoja2!C86</f>
        <v>Secretaría de Inclusión, Familia y Derechos Humanos</v>
      </c>
      <c r="E86" s="15" t="str">
        <f>+MID(Hoja2!F86,1,2)</f>
        <v>50</v>
      </c>
      <c r="F86" t="str">
        <f>+MID(Hoja2!F86,4,20)</f>
        <v>PALMITAS</v>
      </c>
      <c r="G86" t="str">
        <f>+Hoja2!G86</f>
        <v xml:space="preserve">LOGRO: Sensibilización de más de 60 mujeres rurales sobre violencias sexuales  del Corregimiento de San Sebastián de Palmitas.
ACTIVIDAD: Taller sobre violencias sexuales
COMUNA: Comuna 50 – Corregimiento San Sebastián de Palmitas
           FECHA: 23 y 25 de julio
</v>
      </c>
      <c r="H86" t="str">
        <f>+Hoja2!H86</f>
        <v xml:space="preserve"> 60 asistentes </v>
      </c>
    </row>
    <row r="87" spans="1:8" hidden="1" x14ac:dyDescent="0.2">
      <c r="A87">
        <f>+Hoja2!A87</f>
        <v>204113</v>
      </c>
      <c r="B87" s="13" t="str">
        <f>+MID(+Hoja2!B87,1,10)</f>
        <v>28/07/2021</v>
      </c>
      <c r="C87">
        <f>+VLOOKUP(D87,DepMaster!$B:$C,2,FALSE)</f>
        <v>722</v>
      </c>
      <c r="D87" t="str">
        <f>+Hoja2!C87</f>
        <v>Secretaría de Inclusión, Familia y Derechos Humanos</v>
      </c>
      <c r="E87" s="15" t="str">
        <f>+MID(Hoja2!F87,1,2)</f>
        <v>11</v>
      </c>
      <c r="F87" t="str">
        <f>+MID(Hoja2!F87,4,20)</f>
        <v>LAURELES</v>
      </c>
      <c r="G87" t="str">
        <f>+Hoja2!G87</f>
        <v xml:space="preserve">LOGRO. Sensibilizar a niños y niñas  y padres de familia en promoción de los  derechos humanos y entornos protectores en la Comuna 11 – Estadio 
ACTIVIDAD: Taller de sensibilización de derechos humanos y entornos protectores con niños y niñas y padres de familia – Comuna 11 
COMUNA: 11 - Estadio
FECHA: 25 de julio
</v>
      </c>
      <c r="H87" t="str">
        <f>+Hoja2!H87</f>
        <v>35 asistentes a los talleres</v>
      </c>
    </row>
    <row r="88" spans="1:8" hidden="1" x14ac:dyDescent="0.2">
      <c r="A88">
        <f>+Hoja2!A88</f>
        <v>204113</v>
      </c>
      <c r="B88" s="13" t="str">
        <f>+MID(+Hoja2!B88,1,10)</f>
        <v>28/07/2021</v>
      </c>
      <c r="C88">
        <f>+VLOOKUP(D88,DepMaster!$B:$C,2,FALSE)</f>
        <v>722</v>
      </c>
      <c r="D88" t="str">
        <f>+Hoja2!C88</f>
        <v>Secretaría de Inclusión, Familia y Derechos Humanos</v>
      </c>
      <c r="E88" s="15" t="str">
        <f>+MID(Hoja2!F88,1,2)</f>
        <v>02</v>
      </c>
      <c r="F88" t="str">
        <f>+MID(Hoja2!F88,4,20)</f>
        <v>SANTA CRUZ</v>
      </c>
      <c r="G88" t="str">
        <f>+Hoja2!G88</f>
        <v xml:space="preserve">LOGRO:  Sensibilización en la Ruta Urgente de Búsqueda 
ACTIVIDAD: Socialización de la Ruta Urgente de Búsqueda con grupos juveniles 
COMUNA: 2 Manrique 
</v>
      </c>
      <c r="H88" t="str">
        <f>+Hoja2!H88</f>
        <v>35 personas atendidas</v>
      </c>
    </row>
    <row r="89" spans="1:8" hidden="1" x14ac:dyDescent="0.2">
      <c r="A89">
        <f>+Hoja2!A89</f>
        <v>204113</v>
      </c>
      <c r="B89" s="13" t="str">
        <f>+MID(+Hoja2!B89,1,10)</f>
        <v>28/07/2021</v>
      </c>
      <c r="C89">
        <f>+VLOOKUP(D89,DepMaster!$B:$C,2,FALSE)</f>
        <v>722</v>
      </c>
      <c r="D89" t="str">
        <f>+Hoja2!C89</f>
        <v>Secretaría de Inclusión, Familia y Derechos Humanos</v>
      </c>
      <c r="E89" s="15" t="str">
        <f>+MID(Hoja2!F89,1,2)</f>
        <v>15</v>
      </c>
      <c r="F89" t="str">
        <f>+MID(Hoja2!F89,4,20)</f>
        <v>GUAYABAL</v>
      </c>
      <c r="G89" t="str">
        <f>+Hoja2!G89</f>
        <v xml:space="preserve">LOGRO: Realización de  acciones preventivas en contra de la trata de personas. 
ACTIVIDAD: Acompañamiento a movilizaciones en las terminales de transporte de la ciudad de Medellín.
COMUNA: 5 Castilla y  15 Guayabal
NUMERO DE PERSONAS ATENDIDAS: indeterminado
</v>
      </c>
      <c r="H89">
        <f>+Hoja2!H89</f>
        <v>0</v>
      </c>
    </row>
    <row r="90" spans="1:8" hidden="1" x14ac:dyDescent="0.2">
      <c r="A90">
        <f>+Hoja2!A90</f>
        <v>204126</v>
      </c>
      <c r="B90" s="13" t="str">
        <f>+MID(+Hoja2!B90,1,10)</f>
        <v>28/07/2021</v>
      </c>
      <c r="C90">
        <f>+VLOOKUP(D90,DepMaster!$B:$C,2,FALSE)</f>
        <v>753</v>
      </c>
      <c r="D90" t="str">
        <f>+Hoja2!C90</f>
        <v>Gerencia de Corregimientos</v>
      </c>
      <c r="E90" s="15" t="str">
        <f>+MID(Hoja2!F90,1,2)</f>
        <v>50</v>
      </c>
      <c r="F90" t="str">
        <f>+MID(Hoja2!F90,4,20)</f>
        <v>PALMITAS</v>
      </c>
      <c r="G90" t="str">
        <f>+Hoja2!G90</f>
        <v>La atención integral a la comunidad de San Sebastián de Palmitas corregimiento de San Sebastián de Palmitas con la feria de servicios con la oferta: SISBEN, Unidad móvil de a asesoría jurídica de la universidad de Medellín - CEDEZO -oficina pública de empleo -banco de las oportunidades -medio ambiente con asesoría para manejo de residuos sólidos -secretaria de juventud -promotora local de gobierno Medellín me cuida con vacunación y planificación -fundación la luz IPS -fundación lucerito con atención y prevención de víctimas de abuso sexual -biblioteca de palmitas -sapiencia -participación ciudadana -secretaria de seguridad y convivencia –ISVIMED.</v>
      </c>
      <c r="H90" t="str">
        <f>+Hoja2!H90</f>
        <v>N/A</v>
      </c>
    </row>
    <row r="91" spans="1:8" hidden="1" x14ac:dyDescent="0.2">
      <c r="A91">
        <f>+Hoja2!A91</f>
        <v>204126</v>
      </c>
      <c r="B91" s="13" t="str">
        <f>+MID(+Hoja2!B91,1,10)</f>
        <v>28/07/2021</v>
      </c>
      <c r="C91">
        <f>+VLOOKUP(D91,DepMaster!$B:$C,2,FALSE)</f>
        <v>753</v>
      </c>
      <c r="D91" t="str">
        <f>+Hoja2!C91</f>
        <v>Gerencia de Corregimientos</v>
      </c>
      <c r="E91" s="15" t="str">
        <f>+MID(Hoja2!F91,1,2)</f>
        <v>90</v>
      </c>
      <c r="F91" t="str">
        <f>+MID(Hoja2!F91,4,20)</f>
        <v>SANTA ELENA</v>
      </c>
      <c r="G91" t="str">
        <f>+Hoja2!G91</f>
        <v>La atención integral a la comunidad de Santa Elena  se Sapiencia de Mazo, nos acompañaran, buen comienzo Palmitas con la feria de servicios con la oferta: Secretaria de Educación e Inclusión social con cupos para niños desescolarizados, mujeres, familia, asesorías en pensiones, Medellín Me Cuida, la secretaria de salud enviara pruebas para el COVID, estará secretaria de seguridad, ENVARIAS, gestión y control territorial. Espacio público desea sumarse, están pendiente por confirmar su participación.</v>
      </c>
      <c r="H91" t="str">
        <f>+Hoja2!H91</f>
        <v>N/A</v>
      </c>
    </row>
    <row r="92" spans="1:8" hidden="1" x14ac:dyDescent="0.2">
      <c r="A92">
        <f>+Hoja2!A92</f>
        <v>204126</v>
      </c>
      <c r="B92" s="13" t="str">
        <f>+MID(+Hoja2!B92,1,10)</f>
        <v>28/07/2021</v>
      </c>
      <c r="C92">
        <f>+VLOOKUP(D92,DepMaster!$B:$C,2,FALSE)</f>
        <v>753</v>
      </c>
      <c r="D92" t="str">
        <f>+Hoja2!C92</f>
        <v>Gerencia de Corregimientos</v>
      </c>
      <c r="E92" s="15" t="str">
        <f>+MID(Hoja2!F92,1,2)</f>
        <v>10</v>
      </c>
      <c r="F92" t="str">
        <f>+MID(Hoja2!F92,4,20)</f>
        <v>LA CANDELARIA</v>
      </c>
      <c r="G92" t="str">
        <f>+Hoja2!G92</f>
        <v xml:space="preserve">Firma del convenio de cooperación internacional con FAO. Se está pasando a la organización del evento protocolario donde va asistir el Alcalde y FAO  </v>
      </c>
      <c r="H92" t="str">
        <f>+Hoja2!H92</f>
        <v>N/A</v>
      </c>
    </row>
    <row r="93" spans="1:8" hidden="1" x14ac:dyDescent="0.2">
      <c r="A93">
        <f>+Hoja2!A93</f>
        <v>204139</v>
      </c>
      <c r="B93" s="13" t="str">
        <f>+MID(+Hoja2!B93,1,10)</f>
        <v>28/07/2021</v>
      </c>
      <c r="C93">
        <f>+VLOOKUP(D93,DepMaster!$B:$C,2,FALSE)</f>
        <v>713</v>
      </c>
      <c r="D93" t="str">
        <f>+Hoja2!C93</f>
        <v>Secretaría de Cultura Ciudadanía</v>
      </c>
      <c r="E93" s="15" t="str">
        <f>+MID(Hoja2!F93,1,2)</f>
        <v>10</v>
      </c>
      <c r="F93" t="str">
        <f>+MID(Hoja2!F93,4,20)</f>
        <v>LA CANDELARIA</v>
      </c>
      <c r="G93" t="str">
        <f>+Hoja2!G93</f>
        <v xml:space="preserve">El jueves 22 de Julio se realizó el acto de apertura del Teatro Carlos Vieco, un espacio que regresa a la ciudadanía para posibilitar el encuentro en torno al arte y la cultura, al mismo tiempo, que aporta nuevos sentidos que propiciarán disímiles maneras de apropiación. </v>
      </c>
      <c r="H93" t="str">
        <f>+Hoja2!H93</f>
        <v xml:space="preserve">Con una inversión de  $ 41.620.429 se llevó a cabo el evento de apertura, mediante el cual contribuimos al Plan Joven y de Reactivación Económica de la Medellín Futuro que estamos construyendo juntos. A este teatro podrá regresar la música, el rock, en suma, el arte y la cultura, con los que irá recobrando la vida que tenía antes de sus remodelaciones.
Un espacio para continuar moviendo la cultura en nuevos lugares que conseguirán expandirla. </v>
      </c>
    </row>
    <row r="94" spans="1:8" hidden="1" x14ac:dyDescent="0.2">
      <c r="A94">
        <f>+Hoja2!A94</f>
        <v>204139</v>
      </c>
      <c r="B94" s="13" t="str">
        <f>+MID(+Hoja2!B94,1,10)</f>
        <v>28/07/2021</v>
      </c>
      <c r="C94">
        <f>+VLOOKUP(D94,DepMaster!$B:$C,2,FALSE)</f>
        <v>713</v>
      </c>
      <c r="D94" t="str">
        <f>+Hoja2!C94</f>
        <v>Secretaría de Cultura Ciudadanía</v>
      </c>
      <c r="E94" s="15" t="str">
        <f>+MID(Hoja2!F94,1,2)</f>
        <v>14</v>
      </c>
      <c r="F94" t="str">
        <f>+MID(Hoja2!F94,4,20)</f>
        <v>EL POBLADO</v>
      </c>
      <c r="G94" t="str">
        <f>+Hoja2!G94</f>
        <v>Realización de un taller de apreciación del cine latinoamericano dirigido a vecinos de la Casa de la Cultura El Poblado con el objetivo de acercarlos a esta cinematografía y así generar una cercanía con la programación audiovisual del espacio.</v>
      </c>
      <c r="H94" t="str">
        <f>+Hoja2!H94</f>
        <v xml:space="preserve">Este taller fue impartido por el docente e investigador Carlos Pineda en el que participaron 22 personas.
</v>
      </c>
    </row>
    <row r="95" spans="1:8" hidden="1" x14ac:dyDescent="0.2">
      <c r="A95">
        <f>+Hoja2!A95</f>
        <v>204152</v>
      </c>
      <c r="B95" s="13" t="str">
        <f>+MID(+Hoja2!B95,1,10)</f>
        <v>28/07/2021</v>
      </c>
      <c r="C95">
        <f>+VLOOKUP(D95,DepMaster!$B:$C,2,FALSE)</f>
        <v>741</v>
      </c>
      <c r="D95" t="str">
        <f>+Hoja2!C95</f>
        <v>Secretaría de Infraestructura Física</v>
      </c>
      <c r="E95" s="15" t="str">
        <f>+MID(Hoja2!F95,1,2)</f>
        <v>10</v>
      </c>
      <c r="F95" t="str">
        <f>+MID(Hoja2!F95,4,20)</f>
        <v>LA CANDELARIA</v>
      </c>
      <c r="G95" t="str">
        <f>+Hoja2!G95</f>
        <v xml:space="preserve">“TRONCAL METROPLUS AVENIDA ORIENTAL”: conectividad en la Comuna 10 La Candelaria
</v>
      </c>
      <c r="H95" t="str">
        <f>+Hoja2!H95</f>
        <v>x</v>
      </c>
    </row>
    <row r="96" spans="1:8" hidden="1" x14ac:dyDescent="0.2">
      <c r="A96">
        <f>+Hoja2!A96</f>
        <v>204152</v>
      </c>
      <c r="B96" s="13" t="str">
        <f>+MID(+Hoja2!B96,1,10)</f>
        <v>28/07/2021</v>
      </c>
      <c r="C96">
        <f>+VLOOKUP(D96,DepMaster!$B:$C,2,FALSE)</f>
        <v>741</v>
      </c>
      <c r="D96" t="str">
        <f>+Hoja2!C96</f>
        <v>Secretaría de Infraestructura Física</v>
      </c>
      <c r="E96" s="15" t="str">
        <f>+MID(Hoja2!F96,1,2)</f>
        <v>05</v>
      </c>
      <c r="F96" t="str">
        <f>+MID(Hoja2!F96,4,20)</f>
        <v>CASTILLA</v>
      </c>
      <c r="G96" t="str">
        <f>+Hoja2!G96</f>
        <v>"METROCABLE ZONA NOROCCIDENTAL DE MEDELLÍN (CABLE PICACHO)”: conectividad de las comunas 5 y 6 al transporte masivo metro de Medellín</v>
      </c>
      <c r="H96" t="str">
        <f>+Hoja2!H96</f>
        <v>x</v>
      </c>
    </row>
    <row r="97" spans="1:8" hidden="1" x14ac:dyDescent="0.2">
      <c r="A97">
        <f>+Hoja2!A97</f>
        <v>204152</v>
      </c>
      <c r="B97" s="13" t="str">
        <f>+MID(+Hoja2!B97,1,10)</f>
        <v>28/07/2021</v>
      </c>
      <c r="C97">
        <f>+VLOOKUP(D97,DepMaster!$B:$C,2,FALSE)</f>
        <v>741</v>
      </c>
      <c r="D97" t="str">
        <f>+Hoja2!C97</f>
        <v>Secretaría de Infraestructura Física</v>
      </c>
      <c r="E97" s="15" t="str">
        <f>+MID(Hoja2!F97,1,2)</f>
        <v>01</v>
      </c>
      <c r="F97" t="str">
        <f>+MID(Hoja2!F97,4,20)</f>
        <v>POPULAR</v>
      </c>
      <c r="G97" t="str">
        <f>+Hoja2!G97</f>
        <v>PARQUE BIBLIOTECA ZONA NORORIENTAL. Impacto a nivel social, cultural y educativo en la comuna No.1</v>
      </c>
      <c r="H97" t="str">
        <f>+Hoja2!H97</f>
        <v>x</v>
      </c>
    </row>
    <row r="98" spans="1:8" x14ac:dyDescent="0.2">
      <c r="A98">
        <f>+Hoja2!A98</f>
        <v>204152</v>
      </c>
      <c r="B98" s="13" t="str">
        <f>+MID(+Hoja2!B98,1,10)</f>
        <v>28/07/2021</v>
      </c>
      <c r="C98">
        <f>+VLOOKUP(D98,DepMaster!$B:$C,2,FALSE)</f>
        <v>741</v>
      </c>
      <c r="D98" t="str">
        <f>+Hoja2!C98</f>
        <v>Secretaría de Infraestructura Física</v>
      </c>
      <c r="E98" s="15" t="str">
        <f>+MID(Hoja2!F98,1,2)</f>
        <v>60</v>
      </c>
      <c r="F98" t="str">
        <f>+MID(Hoja2!F98,4,20)</f>
        <v>SAN CRISTOBAL</v>
      </c>
      <c r="G98" t="str">
        <f>+Hoja2!G98</f>
        <v xml:space="preserve">4.	Puente de Boquerón movilidad corregimiento de San Cristóbal </v>
      </c>
      <c r="H98">
        <f>+Hoja2!H98</f>
        <v>0</v>
      </c>
    </row>
    <row r="99" spans="1:8" hidden="1" x14ac:dyDescent="0.2">
      <c r="A99">
        <f>+Hoja2!A99</f>
        <v>204179</v>
      </c>
      <c r="B99" s="13" t="str">
        <f>+MID(+Hoja2!B99,1,10)</f>
        <v>28/07/2021</v>
      </c>
      <c r="C99">
        <f>+VLOOKUP(D99,DepMaster!$B:$C,2,FALSE)</f>
        <v>743</v>
      </c>
      <c r="D99" t="str">
        <f>+Hoja2!C99</f>
        <v>Secretaría de Movilidad</v>
      </c>
      <c r="E99" s="15" t="str">
        <f>+MID(Hoja2!F99,1,2)</f>
        <v>14</v>
      </c>
      <c r="F99" t="str">
        <f>+MID(Hoja2!F99,4,20)</f>
        <v>EL POBLADO</v>
      </c>
      <c r="G99" t="str">
        <f>+Hoja2!G99</f>
        <v xml:space="preserve"> Presentación proyecto piloto de aumento temporal de capacidad transportadora de taxis eléctricos.
Por segunda vez, la Secretaría cuenta con el 100% en el indicador de oportunidad de las PQRSD del mes de mayo.
Aprobación de doce avales de plantas de empleo para contratos de prestación de servicios
Trámite de publicación en la página web de la alcaldía para recibir observaciones y recomendaciones de proyecto de decreto de pico y placa para taxis.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Se continúa con los Agentes de Tránsito y en articulación con la policía operativos de control a la informalidad e ilegalidad, de los controles realizados se tienen los siguientes resultados en el periodo 1 de Enero  al 25 de Julio  de 2021:   1453 comparendos y 1293 inmovilizaciones.
Se continúa con la realización de intervenciones en los sitios de mayor incidentalidad de la comuna 10, comuna 5 y comuna 11 con las cuales se logró intervenir durante la semana del 19 al 25 de julio un total de 2.793 personas.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Financiación de Corredor de Vegas en Comuna 14 por más de 8.000 millones de pesos por parte del Área Metropolitana del Valle de Aburrá.
Priorización de corredores a contruir por SIF en comunas 11 y comuna 5 y 4  a través de los proyectos Carrera 74 y Puente del Mico respectivamente.
Se dará inicio a las metas en las que se enfocará cada segmento del proyecto de renovación vehicular.
Continuar revisando áreas para la posible construcción de CLT.
Depuración y análisis de bases  de datos de mortalidad 2014 - 2020, para Pesados y Otros (BD Excel y BD geográfica) y  continuidad a la actividad de acuerdo con la actualización y reporte semanal de mortalidad 2021.
Construcción de los diferentes componentes jurídicos del Convenio e identificación de componentes técnicos de CITRA y consolidación del proceso en aspectos formales, modos y canales de comunicación.</v>
      </c>
      <c r="H99" t="str">
        <f>+Hoja2!H99</f>
        <v>.</v>
      </c>
    </row>
    <row r="100" spans="1:8" hidden="1" x14ac:dyDescent="0.2">
      <c r="A100">
        <f>+Hoja2!A100</f>
        <v>204180</v>
      </c>
      <c r="B100" s="13" t="str">
        <f>+MID(+Hoja2!B100,1,10)</f>
        <v>28/07/2021</v>
      </c>
      <c r="C100">
        <f>+VLOOKUP(D100,DepMaster!$B:$C,2,FALSE)</f>
        <v>721</v>
      </c>
      <c r="D100" t="str">
        <f>+Hoja2!C100</f>
        <v>Secretaría de Salud</v>
      </c>
      <c r="E100" s="15" t="str">
        <f>+MID(Hoja2!F100,1,2)</f>
        <v>03</v>
      </c>
      <c r="F100" t="str">
        <f>+MID(Hoja2!F100,4,20)</f>
        <v>MANRIQUE</v>
      </c>
      <c r="G100" t="str">
        <f>+Hoja2!G100</f>
        <v>Tomas de muestras COVID-19</v>
      </c>
      <c r="H100" t="str">
        <f>+Hoja2!H100</f>
        <v>43   muestras</v>
      </c>
    </row>
    <row r="101" spans="1:8" hidden="1" x14ac:dyDescent="0.2">
      <c r="A101">
        <f>+Hoja2!A101</f>
        <v>204180</v>
      </c>
      <c r="B101" s="13" t="str">
        <f>+MID(+Hoja2!B101,1,10)</f>
        <v>28/07/2021</v>
      </c>
      <c r="C101">
        <f>+VLOOKUP(D101,DepMaster!$B:$C,2,FALSE)</f>
        <v>721</v>
      </c>
      <c r="D101" t="str">
        <f>+Hoja2!C101</f>
        <v>Secretaría de Salud</v>
      </c>
      <c r="E101" s="15" t="str">
        <f>+MID(Hoja2!F101,1,2)</f>
        <v>05</v>
      </c>
      <c r="F101" t="str">
        <f>+MID(Hoja2!F101,4,20)</f>
        <v>CASTILLA</v>
      </c>
      <c r="G101" t="str">
        <f>+Hoja2!G101</f>
        <v>Toma de muestras Covid-19</v>
      </c>
      <c r="H101" t="str">
        <f>+Hoja2!H101</f>
        <v>21 Muestras</v>
      </c>
    </row>
    <row r="102" spans="1:8" hidden="1" x14ac:dyDescent="0.2">
      <c r="A102">
        <f>+Hoja2!A102</f>
        <v>204180</v>
      </c>
      <c r="B102" s="13" t="str">
        <f>+MID(+Hoja2!B102,1,10)</f>
        <v>28/07/2021</v>
      </c>
      <c r="C102">
        <f>+VLOOKUP(D102,DepMaster!$B:$C,2,FALSE)</f>
        <v>721</v>
      </c>
      <c r="D102" t="str">
        <f>+Hoja2!C102</f>
        <v>Secretaría de Salud</v>
      </c>
      <c r="E102" s="15" t="str">
        <f>+MID(Hoja2!F102,1,2)</f>
        <v>06</v>
      </c>
      <c r="F102" t="str">
        <f>+MID(Hoja2!F102,4,20)</f>
        <v>DOCE DE OCTUBRE</v>
      </c>
      <c r="G102" t="str">
        <f>+Hoja2!G102</f>
        <v>Toma de muestras Covid-19</v>
      </c>
      <c r="H102" t="str">
        <f>+Hoja2!H102</f>
        <v>109 muestra</v>
      </c>
    </row>
    <row r="103" spans="1:8" hidden="1" x14ac:dyDescent="0.2">
      <c r="A103">
        <f>+Hoja2!A103</f>
        <v>204180</v>
      </c>
      <c r="B103" s="13" t="str">
        <f>+MID(+Hoja2!B103,1,10)</f>
        <v>28/07/2021</v>
      </c>
      <c r="C103">
        <f>+VLOOKUP(D103,DepMaster!$B:$C,2,FALSE)</f>
        <v>721</v>
      </c>
      <c r="D103" t="str">
        <f>+Hoja2!C103</f>
        <v>Secretaría de Salud</v>
      </c>
      <c r="E103" s="15" t="str">
        <f>+MID(Hoja2!F103,1,2)</f>
        <v>07</v>
      </c>
      <c r="F103" t="str">
        <f>+MID(Hoja2!F103,4,20)</f>
        <v>ROBLEDO</v>
      </c>
      <c r="G103" t="str">
        <f>+Hoja2!G103</f>
        <v>Toma de muestras Covid-19</v>
      </c>
      <c r="H103" t="str">
        <f>+Hoja2!H103</f>
        <v>169 Muestras</v>
      </c>
    </row>
    <row r="104" spans="1:8" hidden="1" x14ac:dyDescent="0.2">
      <c r="A104">
        <f>+Hoja2!A104</f>
        <v>204180</v>
      </c>
      <c r="B104" s="13" t="str">
        <f>+MID(+Hoja2!B104,1,10)</f>
        <v>28/07/2021</v>
      </c>
      <c r="C104">
        <f>+VLOOKUP(D104,DepMaster!$B:$C,2,FALSE)</f>
        <v>721</v>
      </c>
      <c r="D104" t="str">
        <f>+Hoja2!C104</f>
        <v>Secretaría de Salud</v>
      </c>
      <c r="E104" s="15" t="str">
        <f>+MID(Hoja2!F104,1,2)</f>
        <v>08</v>
      </c>
      <c r="F104" t="str">
        <f>+MID(Hoja2!F104,4,20)</f>
        <v>VILLA HERMOSA</v>
      </c>
      <c r="G104" t="str">
        <f>+Hoja2!G104</f>
        <v>Toma de muestras Covid-19</v>
      </c>
      <c r="H104" t="str">
        <f>+Hoja2!H104</f>
        <v>129 muestras</v>
      </c>
    </row>
    <row r="105" spans="1:8" hidden="1" x14ac:dyDescent="0.2">
      <c r="A105">
        <f>+Hoja2!A105</f>
        <v>204180</v>
      </c>
      <c r="B105" s="13" t="str">
        <f>+MID(+Hoja2!B105,1,10)</f>
        <v>28/07/2021</v>
      </c>
      <c r="C105">
        <f>+VLOOKUP(D105,DepMaster!$B:$C,2,FALSE)</f>
        <v>721</v>
      </c>
      <c r="D105" t="str">
        <f>+Hoja2!C105</f>
        <v>Secretaría de Salud</v>
      </c>
      <c r="E105" s="15" t="str">
        <f>+MID(Hoja2!F105,1,2)</f>
        <v>09</v>
      </c>
      <c r="F105" t="str">
        <f>+MID(Hoja2!F105,4,20)</f>
        <v>BUENOS AIRES</v>
      </c>
      <c r="G105" t="str">
        <f>+Hoja2!G105</f>
        <v>Toma de muestras Covid-19</v>
      </c>
      <c r="H105" t="str">
        <f>+Hoja2!H105</f>
        <v xml:space="preserve">143 muestras </v>
      </c>
    </row>
    <row r="106" spans="1:8" hidden="1" x14ac:dyDescent="0.2">
      <c r="A106">
        <f>+Hoja2!A106</f>
        <v>204180</v>
      </c>
      <c r="B106" s="13" t="str">
        <f>+MID(+Hoja2!B106,1,10)</f>
        <v>28/07/2021</v>
      </c>
      <c r="C106">
        <f>+VLOOKUP(D106,DepMaster!$B:$C,2,FALSE)</f>
        <v>721</v>
      </c>
      <c r="D106" t="str">
        <f>+Hoja2!C106</f>
        <v>Secretaría de Salud</v>
      </c>
      <c r="E106" s="15" t="str">
        <f>+MID(Hoja2!F106,1,2)</f>
        <v>15</v>
      </c>
      <c r="F106" t="str">
        <f>+MID(Hoja2!F106,4,20)</f>
        <v>GUAYABAL</v>
      </c>
      <c r="G106" t="str">
        <f>+Hoja2!G106</f>
        <v>Toma de muestras Covid-19</v>
      </c>
      <c r="H106" t="str">
        <f>+Hoja2!H106</f>
        <v>91 muestras</v>
      </c>
    </row>
    <row r="107" spans="1:8" hidden="1" x14ac:dyDescent="0.2">
      <c r="A107">
        <f>+Hoja2!A107</f>
        <v>204199</v>
      </c>
      <c r="B107" s="13" t="str">
        <f>+MID(+Hoja2!B107,1,10)</f>
        <v>28/07/2021</v>
      </c>
      <c r="C107">
        <f>+VLOOKUP(D107,DepMaster!$B:$C,2,FALSE)</f>
        <v>733</v>
      </c>
      <c r="D107" t="str">
        <f>+Hoja2!C107</f>
        <v>Departamento Administrativo de Gestión del Riesgo de Desastres</v>
      </c>
      <c r="E107" s="15" t="str">
        <f>+MID(Hoja2!F107,1,2)</f>
        <v>08</v>
      </c>
      <c r="F107" t="str">
        <f>+MID(Hoja2!F107,4,20)</f>
        <v>VILLA HERMOSA</v>
      </c>
      <c r="G107" t="str">
        <f>+Hoja2!G107</f>
        <v xml:space="preserve">Acompañamiento en las reuniones de la Comisión de la Protección Social, hábitat, Riesgos Tecnológicos.
Seguimiento de las acciones a realizar con la comunidad del Barrio el Pacifico con referente al PAER de lluvias.
</v>
      </c>
      <c r="H107" t="str">
        <f>+Hoja2!H107</f>
        <v>Sin datos</v>
      </c>
    </row>
    <row r="108" spans="1:8" hidden="1" x14ac:dyDescent="0.2">
      <c r="A108">
        <f>+Hoja2!A108</f>
        <v>204199</v>
      </c>
      <c r="B108" s="13" t="str">
        <f>+MID(+Hoja2!B108,1,10)</f>
        <v>28/07/2021</v>
      </c>
      <c r="C108">
        <f>+VLOOKUP(D108,DepMaster!$B:$C,2,FALSE)</f>
        <v>733</v>
      </c>
      <c r="D108" t="str">
        <f>+Hoja2!C108</f>
        <v>Departamento Administrativo de Gestión del Riesgo de Desastres</v>
      </c>
      <c r="E108" s="15" t="str">
        <f>+MID(Hoja2!F108,1,2)</f>
        <v>90</v>
      </c>
      <c r="F108" t="str">
        <f>+MID(Hoja2!F108,4,20)</f>
        <v>SANTA ELENA</v>
      </c>
      <c r="G108" t="str">
        <f>+Hoja2!G108</f>
        <v>El sábado 24 de julio se realizó visita de inspección a otras 5 fincas silleteras, en el corregimiento de Santa Elena en el Marco de la feria de las Flores 2021 Comuna 90</v>
      </c>
      <c r="H108" t="str">
        <f>+Hoja2!H108</f>
        <v>Sin dato</v>
      </c>
    </row>
    <row r="109" spans="1:8" hidden="1" x14ac:dyDescent="0.2">
      <c r="A109">
        <f>+Hoja2!A109</f>
        <v>204199</v>
      </c>
      <c r="B109" s="13" t="str">
        <f>+MID(+Hoja2!B109,1,10)</f>
        <v>28/07/2021</v>
      </c>
      <c r="C109">
        <f>+VLOOKUP(D109,DepMaster!$B:$C,2,FALSE)</f>
        <v>733</v>
      </c>
      <c r="D109" t="str">
        <f>+Hoja2!C109</f>
        <v>Departamento Administrativo de Gestión del Riesgo de Desastres</v>
      </c>
      <c r="E109" s="15" t="str">
        <f>+MID(Hoja2!F109,1,2)</f>
        <v>50</v>
      </c>
      <c r="F109" t="str">
        <f>+MID(Hoja2!F109,4,20)</f>
        <v>PALMITAS</v>
      </c>
      <c r="G109" t="str">
        <f>+Hoja2!G109</f>
        <v xml:space="preserve">Articulación con el Colegio Hector Rogelio en la que se realizaran talleres tanto a docentes como a estudiantes y padres de familia en lo correspondiente a la gestion del riesgo Comuna 50 Pamitas
</v>
      </c>
      <c r="H109" t="str">
        <f>+Hoja2!H109</f>
        <v>Sin dato</v>
      </c>
    </row>
    <row r="110" spans="1:8" hidden="1" x14ac:dyDescent="0.2">
      <c r="A110">
        <f>+Hoja2!A110</f>
        <v>204199</v>
      </c>
      <c r="B110" s="13" t="str">
        <f>+MID(+Hoja2!B110,1,10)</f>
        <v>28/07/2021</v>
      </c>
      <c r="C110">
        <f>+VLOOKUP(D110,DepMaster!$B:$C,2,FALSE)</f>
        <v>733</v>
      </c>
      <c r="D110" t="str">
        <f>+Hoja2!C110</f>
        <v>Departamento Administrativo de Gestión del Riesgo de Desastres</v>
      </c>
      <c r="E110" s="15" t="str">
        <f>+MID(Hoja2!F110,1,2)</f>
        <v>80</v>
      </c>
      <c r="F110" t="str">
        <f>+MID(Hoja2!F110,4,20)</f>
        <v>SAN ANTONIO DE PRADO</v>
      </c>
      <c r="G110" t="str">
        <f>+Hoja2!G110</f>
        <v xml:space="preserve">Se realizan diferentes recorridos en articulación con el SIATA y la realizacion de talleres a las comunidades frente  la prevencion del riesgo.  Comuna 80 San Antonio de Prado
</v>
      </c>
      <c r="H110" t="str">
        <f>+Hoja2!H110</f>
        <v>Sin dato</v>
      </c>
    </row>
    <row r="111" spans="1:8" hidden="1" x14ac:dyDescent="0.2">
      <c r="A111">
        <f>+Hoja2!A111</f>
        <v>204199</v>
      </c>
      <c r="B111" s="13" t="str">
        <f>+MID(+Hoja2!B111,1,10)</f>
        <v>28/07/2021</v>
      </c>
      <c r="C111">
        <f>+VLOOKUP(D111,DepMaster!$B:$C,2,FALSE)</f>
        <v>733</v>
      </c>
      <c r="D111" t="str">
        <f>+Hoja2!C111</f>
        <v>Departamento Administrativo de Gestión del Riesgo de Desastres</v>
      </c>
      <c r="E111" s="15" t="str">
        <f>+MID(Hoja2!F111,1,2)</f>
        <v>08</v>
      </c>
      <c r="F111" t="str">
        <f>+MID(Hoja2!F111,4,20)</f>
        <v>VILLA HERMOSA</v>
      </c>
      <c r="G111" t="str">
        <f>+Hoja2!G111</f>
        <v xml:space="preserve">Avances en el curso de co-gestión del riesgo en el BURNOR,  con las universidades de Edimburgo y Heriot Watt, al igual que el SENA y la mesa de vivienda de la comuna 8, a través del inicio del primer modulo formativo articulando metodologías presencial y virtual. Comuna 8
</v>
      </c>
      <c r="H111" t="str">
        <f>+Hoja2!H111</f>
        <v>Sin dato</v>
      </c>
    </row>
    <row r="112" spans="1:8" hidden="1" x14ac:dyDescent="0.2">
      <c r="A112">
        <f>+Hoja2!A112</f>
        <v>204199</v>
      </c>
      <c r="B112" s="13" t="str">
        <f>+MID(+Hoja2!B112,1,10)</f>
        <v>28/07/2021</v>
      </c>
      <c r="C112">
        <f>+VLOOKUP(D112,DepMaster!$B:$C,2,FALSE)</f>
        <v>733</v>
      </c>
      <c r="D112" t="str">
        <f>+Hoja2!C112</f>
        <v>Departamento Administrativo de Gestión del Riesgo de Desastres</v>
      </c>
      <c r="E112" s="15" t="str">
        <f>+MID(Hoja2!F112,1,2)</f>
        <v>09</v>
      </c>
      <c r="F112" t="str">
        <f>+MID(Hoja2!F112,4,20)</f>
        <v>BUENOS AIRES</v>
      </c>
      <c r="G112" t="str">
        <f>+Hoja2!G112</f>
        <v xml:space="preserve">Descentralización de la oferta institucional, a través de la feria de servicios programada para el miércoles 28 de julio a realizarse en la comuna 9 Buenos Aires, en articulación con las demás dependencias de la alcaldía de Medellín.
</v>
      </c>
      <c r="H112" t="str">
        <f>+Hoja2!H112</f>
        <v>Sin dato</v>
      </c>
    </row>
    <row r="113" spans="1:8" hidden="1" x14ac:dyDescent="0.2">
      <c r="A113">
        <f>+Hoja2!A113</f>
        <v>204199</v>
      </c>
      <c r="B113" s="13" t="str">
        <f>+MID(+Hoja2!B113,1,10)</f>
        <v>28/07/2021</v>
      </c>
      <c r="C113">
        <f>+VLOOKUP(D113,DepMaster!$B:$C,2,FALSE)</f>
        <v>733</v>
      </c>
      <c r="D113" t="str">
        <f>+Hoja2!C113</f>
        <v>Departamento Administrativo de Gestión del Riesgo de Desastres</v>
      </c>
      <c r="E113" s="15" t="str">
        <f>+MID(Hoja2!F113,1,2)</f>
        <v>05</v>
      </c>
      <c r="F113" t="str">
        <f>+MID(Hoja2!F113,4,20)</f>
        <v>CASTILLA</v>
      </c>
      <c r="G113" t="str">
        <f>+Hoja2!G113</f>
        <v xml:space="preserve">Talleres de Escuela y Entorno seguro a desarrollar con alrededor de 100 estudiantes de la  I.E Jesús María El Rosal de la comuna 5 Castilla. 
</v>
      </c>
      <c r="H113" t="str">
        <f>+Hoja2!H113</f>
        <v>Sin dato</v>
      </c>
    </row>
    <row r="114" spans="1:8" hidden="1" x14ac:dyDescent="0.2">
      <c r="A114">
        <f>+Hoja2!A114</f>
        <v>204199</v>
      </c>
      <c r="B114" s="13" t="str">
        <f>+MID(+Hoja2!B114,1,10)</f>
        <v>28/07/2021</v>
      </c>
      <c r="C114">
        <f>+VLOOKUP(D114,DepMaster!$B:$C,2,FALSE)</f>
        <v>733</v>
      </c>
      <c r="D114" t="str">
        <f>+Hoja2!C114</f>
        <v>Departamento Administrativo de Gestión del Riesgo de Desastres</v>
      </c>
      <c r="E114" s="15" t="str">
        <f>+MID(Hoja2!F114,1,2)</f>
        <v>08</v>
      </c>
      <c r="F114" t="str">
        <f>+MID(Hoja2!F114,4,20)</f>
        <v>VILLA HERMOSA</v>
      </c>
      <c r="G114" t="str">
        <f>+Hoja2!G114</f>
        <v xml:space="preserve">Intervención y acompañamiento en la inscripción de planchas al CCCP de la comuna, con alrededor de 28 participantes para representar al sector en el escenario mencionado. Comuna 8. 
</v>
      </c>
      <c r="H114" t="str">
        <f>+Hoja2!H114</f>
        <v>Sin dato</v>
      </c>
    </row>
    <row r="115" spans="1:8" hidden="1" x14ac:dyDescent="0.2">
      <c r="A115">
        <f>+Hoja2!A115</f>
        <v>204199</v>
      </c>
      <c r="B115" s="13" t="str">
        <f>+MID(+Hoja2!B115,1,10)</f>
        <v>28/07/2021</v>
      </c>
      <c r="C115">
        <f>+VLOOKUP(D115,DepMaster!$B:$C,2,FALSE)</f>
        <v>733</v>
      </c>
      <c r="D115" t="str">
        <f>+Hoja2!C115</f>
        <v>Departamento Administrativo de Gestión del Riesgo de Desastres</v>
      </c>
      <c r="E115" s="15" t="str">
        <f>+MID(Hoja2!F115,1,2)</f>
        <v>05</v>
      </c>
      <c r="F115" t="str">
        <f>+MID(Hoja2!F115,4,20)</f>
        <v>CASTILLA</v>
      </c>
      <c r="G115" t="str">
        <f>+Hoja2!G115</f>
        <v xml:space="preserve">Se realizarán capacitaciones en gestión de riesgo a 150 estudiantes de la IE El Rosal del barrio Castilla, comuna 5 de los grados noveno y decimo, en un proceso formativo que inicia hoy y que cubrirá a 50 estudiantes aproximadamente. Todo esto enmarcado en el componente de "Educación y gestión de riesgo". 
</v>
      </c>
      <c r="H115" t="str">
        <f>+Hoja2!H115</f>
        <v>150 estudiantes Capacitados</v>
      </c>
    </row>
    <row r="116" spans="1:8" hidden="1" x14ac:dyDescent="0.2">
      <c r="A116">
        <f>+Hoja2!A116</f>
        <v>204199</v>
      </c>
      <c r="B116" s="13" t="str">
        <f>+MID(+Hoja2!B116,1,10)</f>
        <v>28/07/2021</v>
      </c>
      <c r="C116">
        <f>+VLOOKUP(D116,DepMaster!$B:$C,2,FALSE)</f>
        <v>733</v>
      </c>
      <c r="D116" t="str">
        <f>+Hoja2!C116</f>
        <v>Departamento Administrativo de Gestión del Riesgo de Desastres</v>
      </c>
      <c r="E116" s="15" t="str">
        <f>+MID(Hoja2!F116,1,2)</f>
        <v>10</v>
      </c>
      <c r="F116" t="str">
        <f>+MID(Hoja2!F116,4,20)</f>
        <v>LA CANDELARIA</v>
      </c>
      <c r="G116" t="str">
        <f>+Hoja2!G116</f>
        <v>Se continua con capacitaciones en centros infantiles de la comuna 10 generando conocimiento en materia de gestión del riesgo, contando con los aportes de los agentes educativos con el fin que sea mas ameno las experiencias con los centros infantiles. Comuna 10</v>
      </c>
      <c r="H116" t="str">
        <f>+Hoja2!H116</f>
        <v>Sin dato</v>
      </c>
    </row>
    <row r="117" spans="1:8" hidden="1" x14ac:dyDescent="0.2">
      <c r="A117">
        <f>+Hoja2!A117</f>
        <v>204199</v>
      </c>
      <c r="B117" s="13" t="str">
        <f>+MID(+Hoja2!B117,1,10)</f>
        <v>28/07/2021</v>
      </c>
      <c r="C117">
        <f>+VLOOKUP(D117,DepMaster!$B:$C,2,FALSE)</f>
        <v>733</v>
      </c>
      <c r="D117" t="str">
        <f>+Hoja2!C117</f>
        <v>Departamento Administrativo de Gestión del Riesgo de Desastres</v>
      </c>
      <c r="E117" s="15" t="str">
        <f>+MID(Hoja2!F117,1,2)</f>
        <v>14</v>
      </c>
      <c r="F117" t="str">
        <f>+MID(Hoja2!F117,4,20)</f>
        <v>EL POBLADO</v>
      </c>
      <c r="G117" t="str">
        <f>+Hoja2!G117</f>
        <v xml:space="preserve">Se están llevando a cabo talleres en articulación con secretaria de juventud y secretaria de la mujer sobre riesgo de desastre y riesgos sociales con el fin de complementar los planes de gestión de riesgos escolares. El piloto se esta realizando en el colegio La enseñanza donde se impactaran al rededor de 800 niñas y se replicará en la IE INEM (3.000 estudiantes aprox)  y el colegio Marymount. Comuna 14
</v>
      </c>
      <c r="H117" t="str">
        <f>+Hoja2!H117</f>
        <v>Impacto 800 niñas
3000 estudiantes aprox</v>
      </c>
    </row>
    <row r="118" spans="1:8" hidden="1" x14ac:dyDescent="0.2">
      <c r="A118">
        <f>+Hoja2!A118</f>
        <v>204199</v>
      </c>
      <c r="B118" s="13" t="str">
        <f>+MID(+Hoja2!B118,1,10)</f>
        <v>28/07/2021</v>
      </c>
      <c r="C118">
        <f>+VLOOKUP(D118,DepMaster!$B:$C,2,FALSE)</f>
        <v>733</v>
      </c>
      <c r="D118" t="str">
        <f>+Hoja2!C118</f>
        <v>Departamento Administrativo de Gestión del Riesgo de Desastres</v>
      </c>
      <c r="E118" s="15" t="str">
        <f>+MID(Hoja2!F118,1,2)</f>
        <v>13</v>
      </c>
      <c r="F118" t="str">
        <f>+MID(Hoja2!F118,4,20)</f>
        <v>SAN JAVIER</v>
      </c>
      <c r="G118" t="str">
        <f>+Hoja2!G118</f>
        <v xml:space="preserve">Articulación entre Promotora de Gobierno Local y Secretaria de Gestión y Control Territorial de la C13, en función de trabajar conjuntamente en mitigar riesgos en puntos focalizados en los 7 nodos con los cuales cuenta la comuna 13.
</v>
      </c>
      <c r="H118" t="str">
        <f>+Hoja2!H118</f>
        <v>Sin dato</v>
      </c>
    </row>
    <row r="119" spans="1:8" hidden="1" x14ac:dyDescent="0.2">
      <c r="A119">
        <f>+Hoja2!A119</f>
        <v>204199</v>
      </c>
      <c r="B119" s="13" t="str">
        <f>+MID(+Hoja2!B119,1,10)</f>
        <v>28/07/2021</v>
      </c>
      <c r="C119">
        <f>+VLOOKUP(D119,DepMaster!$B:$C,2,FALSE)</f>
        <v>733</v>
      </c>
      <c r="D119" t="str">
        <f>+Hoja2!C119</f>
        <v>Departamento Administrativo de Gestión del Riesgo de Desastres</v>
      </c>
      <c r="E119" s="15" t="str">
        <f>+MID(Hoja2!F119,1,2)</f>
        <v>90</v>
      </c>
      <c r="F119" t="str">
        <f>+MID(Hoja2!F119,4,20)</f>
        <v>SANTA ELENA</v>
      </c>
      <c r="G119" t="str">
        <f>+Hoja2!G119</f>
        <v xml:space="preserve">Desarrollo de talleres educativos en la Institución Educativa Santa Elena a través de los cuales se impactarán más de 80 alumnos de bachillerato. Comuna 90
</v>
      </c>
      <c r="H119" t="str">
        <f>+Hoja2!H119</f>
        <v>Sin dato</v>
      </c>
    </row>
    <row r="120" spans="1:8" hidden="1" x14ac:dyDescent="0.2">
      <c r="A120">
        <f>+Hoja2!A120</f>
        <v>204213</v>
      </c>
      <c r="B120" s="13" t="str">
        <f>+MID(+Hoja2!B120,1,10)</f>
        <v>28/07/2021</v>
      </c>
      <c r="C120">
        <f>+VLOOKUP(D120,DepMaster!$B:$C,2,FALSE)</f>
        <v>712</v>
      </c>
      <c r="D120" t="str">
        <f>+Hoja2!C120</f>
        <v>Secretaría de Participación Ciudadana</v>
      </c>
      <c r="E120" s="15" t="str">
        <f>+MID(Hoja2!F120,1,2)</f>
        <v>13</v>
      </c>
      <c r="F120" t="str">
        <f>+MID(Hoja2!F120,4,20)</f>
        <v>SAN JAVIER</v>
      </c>
      <c r="G120" t="str">
        <f>+Hoja2!G120</f>
        <v>Entrega de 206 kits alimentarios a los asistentes de las escuelas de formación ciudadana.</v>
      </c>
      <c r="H120" t="str">
        <f>+Hoja2!H120</f>
        <v>N/A</v>
      </c>
    </row>
    <row r="121" spans="1:8" hidden="1" x14ac:dyDescent="0.2">
      <c r="A121">
        <f>+Hoja2!A121</f>
        <v>204213</v>
      </c>
      <c r="B121" s="13" t="str">
        <f>+MID(+Hoja2!B121,1,10)</f>
        <v>28/07/2021</v>
      </c>
      <c r="C121">
        <f>+VLOOKUP(D121,DepMaster!$B:$C,2,FALSE)</f>
        <v>712</v>
      </c>
      <c r="D121" t="str">
        <f>+Hoja2!C121</f>
        <v>Secretaría de Participación Ciudadana</v>
      </c>
      <c r="E121" s="15" t="str">
        <f>+MID(Hoja2!F121,1,2)</f>
        <v>01</v>
      </c>
      <c r="F121" t="str">
        <f>+MID(Hoja2!F121,4,20)</f>
        <v>POPULAR</v>
      </c>
      <c r="G121" t="str">
        <f>+Hoja2!G121</f>
        <v>19 encuentros sectoriales para la elección de representantes al CCCP</v>
      </c>
      <c r="H121" t="str">
        <f>+Hoja2!H121</f>
        <v>N/A</v>
      </c>
    </row>
    <row r="122" spans="1:8" hidden="1" x14ac:dyDescent="0.2">
      <c r="A122">
        <f>+Hoja2!A122</f>
        <v>204213</v>
      </c>
      <c r="B122" s="13" t="str">
        <f>+MID(+Hoja2!B122,1,10)</f>
        <v>28/07/2021</v>
      </c>
      <c r="C122">
        <f>+VLOOKUP(D122,DepMaster!$B:$C,2,FALSE)</f>
        <v>712</v>
      </c>
      <c r="D122" t="str">
        <f>+Hoja2!C122</f>
        <v>Secretaría de Participación Ciudadana</v>
      </c>
      <c r="E122" s="15" t="str">
        <f>+MID(Hoja2!F122,1,2)</f>
        <v>03</v>
      </c>
      <c r="F122" t="str">
        <f>+MID(Hoja2!F122,4,20)</f>
        <v>MANRIQUE</v>
      </c>
      <c r="G122" t="str">
        <f>+Hoja2!G122</f>
        <v>19 encuentros sectoriales para la elección de representantes al CCCP</v>
      </c>
      <c r="H122" t="str">
        <f>+Hoja2!H122</f>
        <v>N/A</v>
      </c>
    </row>
    <row r="123" spans="1:8" hidden="1" x14ac:dyDescent="0.2">
      <c r="A123">
        <f>+Hoja2!A123</f>
        <v>204213</v>
      </c>
      <c r="B123" s="13" t="str">
        <f>+MID(+Hoja2!B123,1,10)</f>
        <v>28/07/2021</v>
      </c>
      <c r="C123">
        <f>+VLOOKUP(D123,DepMaster!$B:$C,2,FALSE)</f>
        <v>712</v>
      </c>
      <c r="D123" t="str">
        <f>+Hoja2!C123</f>
        <v>Secretaría de Participación Ciudadana</v>
      </c>
      <c r="E123" s="15" t="str">
        <f>+MID(Hoja2!F123,1,2)</f>
        <v>05</v>
      </c>
      <c r="F123" t="str">
        <f>+MID(Hoja2!F123,4,20)</f>
        <v>CASTILLA</v>
      </c>
      <c r="G123" t="str">
        <f>+Hoja2!G123</f>
        <v>4 encuentros sectoriales para la elección de representantes al CCCP</v>
      </c>
      <c r="H123" t="str">
        <f>+Hoja2!H123</f>
        <v>N/A</v>
      </c>
    </row>
    <row r="124" spans="1:8" hidden="1" x14ac:dyDescent="0.2">
      <c r="A124">
        <f>+Hoja2!A124</f>
        <v>204213</v>
      </c>
      <c r="B124" s="13" t="str">
        <f>+MID(+Hoja2!B124,1,10)</f>
        <v>28/07/2021</v>
      </c>
      <c r="C124">
        <f>+VLOOKUP(D124,DepMaster!$B:$C,2,FALSE)</f>
        <v>712</v>
      </c>
      <c r="D124" t="str">
        <f>+Hoja2!C124</f>
        <v>Secretaría de Participación Ciudadana</v>
      </c>
      <c r="E124" s="15" t="str">
        <f>+MID(Hoja2!F124,1,2)</f>
        <v>08</v>
      </c>
      <c r="F124" t="str">
        <f>+MID(Hoja2!F124,4,20)</f>
        <v>VILLA HERMOSA</v>
      </c>
      <c r="G124" t="str">
        <f>+Hoja2!G124</f>
        <v>8 encuentros sectoriales para la elección de representantes al CCCP</v>
      </c>
      <c r="H124" t="str">
        <f>+Hoja2!H124</f>
        <v>N/A</v>
      </c>
    </row>
    <row r="125" spans="1:8" hidden="1" x14ac:dyDescent="0.2">
      <c r="A125">
        <f>+Hoja2!A125</f>
        <v>204213</v>
      </c>
      <c r="B125" s="13" t="str">
        <f>+MID(+Hoja2!B125,1,10)</f>
        <v>28/07/2021</v>
      </c>
      <c r="C125">
        <f>+VLOOKUP(D125,DepMaster!$B:$C,2,FALSE)</f>
        <v>712</v>
      </c>
      <c r="D125" t="str">
        <f>+Hoja2!C125</f>
        <v>Secretaría de Participación Ciudadana</v>
      </c>
      <c r="E125" s="15" t="str">
        <f>+MID(Hoja2!F125,1,2)</f>
        <v>09</v>
      </c>
      <c r="F125" t="str">
        <f>+MID(Hoja2!F125,4,20)</f>
        <v>BUENOS AIRES</v>
      </c>
      <c r="G125" t="str">
        <f>+Hoja2!G125</f>
        <v>10 encuentros sectoriales para la elección de representantes al CCCP</v>
      </c>
      <c r="H125" t="str">
        <f>+Hoja2!H125</f>
        <v>N/A</v>
      </c>
    </row>
    <row r="126" spans="1:8" hidden="1" x14ac:dyDescent="0.2">
      <c r="A126">
        <f>+Hoja2!A126</f>
        <v>204213</v>
      </c>
      <c r="B126" s="13" t="str">
        <f>+MID(+Hoja2!B126,1,10)</f>
        <v>28/07/2021</v>
      </c>
      <c r="C126">
        <f>+VLOOKUP(D126,DepMaster!$B:$C,2,FALSE)</f>
        <v>712</v>
      </c>
      <c r="D126" t="str">
        <f>+Hoja2!C126</f>
        <v>Secretaría de Participación Ciudadana</v>
      </c>
      <c r="E126" s="15" t="str">
        <f>+MID(Hoja2!F126,1,2)</f>
        <v>11</v>
      </c>
      <c r="F126" t="str">
        <f>+MID(Hoja2!F126,4,20)</f>
        <v>LAURELES</v>
      </c>
      <c r="G126" t="str">
        <f>+Hoja2!G126</f>
        <v>10 encuentros sectoriales para la elección de representantes al CCCP</v>
      </c>
      <c r="H126" t="str">
        <f>+Hoja2!H126</f>
        <v>N/A</v>
      </c>
    </row>
    <row r="127" spans="1:8" hidden="1" x14ac:dyDescent="0.2">
      <c r="A127">
        <f>+Hoja2!A127</f>
        <v>204213</v>
      </c>
      <c r="B127" s="13" t="str">
        <f>+MID(+Hoja2!B127,1,10)</f>
        <v>28/07/2021</v>
      </c>
      <c r="C127">
        <f>+VLOOKUP(D127,DepMaster!$B:$C,2,FALSE)</f>
        <v>712</v>
      </c>
      <c r="D127" t="str">
        <f>+Hoja2!C127</f>
        <v>Secretaría de Participación Ciudadana</v>
      </c>
      <c r="E127" s="15" t="str">
        <f>+MID(Hoja2!F127,1,2)</f>
        <v>14</v>
      </c>
      <c r="F127" t="str">
        <f>+MID(Hoja2!F127,4,20)</f>
        <v>EL POBLADO</v>
      </c>
      <c r="G127" t="str">
        <f>+Hoja2!G127</f>
        <v>6 encuentros sectoriales para la elección de representantes al CCCP</v>
      </c>
      <c r="H127" t="str">
        <f>+Hoja2!H127</f>
        <v>N/A</v>
      </c>
    </row>
    <row r="128" spans="1:8" hidden="1" x14ac:dyDescent="0.2">
      <c r="A128">
        <f>+Hoja2!A128</f>
        <v>204213</v>
      </c>
      <c r="B128" s="13" t="str">
        <f>+MID(+Hoja2!B128,1,10)</f>
        <v>28/07/2021</v>
      </c>
      <c r="C128">
        <f>+VLOOKUP(D128,DepMaster!$B:$C,2,FALSE)</f>
        <v>712</v>
      </c>
      <c r="D128" t="str">
        <f>+Hoja2!C128</f>
        <v>Secretaría de Participación Ciudadana</v>
      </c>
      <c r="E128" s="15" t="str">
        <f>+MID(Hoja2!F128,1,2)</f>
        <v>50</v>
      </c>
      <c r="F128" t="str">
        <f>+MID(Hoja2!F128,4,20)</f>
        <v>PALMITAS</v>
      </c>
      <c r="G128" t="str">
        <f>+Hoja2!G128</f>
        <v>3 encuentros sectoriales para la elección de representantes al CCCP</v>
      </c>
      <c r="H128" t="str">
        <f>+Hoja2!H128</f>
        <v>N/A</v>
      </c>
    </row>
    <row r="129" spans="1:8" x14ac:dyDescent="0.2">
      <c r="A129">
        <f>+Hoja2!A129</f>
        <v>204213</v>
      </c>
      <c r="B129" s="13" t="str">
        <f>+MID(+Hoja2!B129,1,10)</f>
        <v>28/07/2021</v>
      </c>
      <c r="C129">
        <f>+VLOOKUP(D129,DepMaster!$B:$C,2,FALSE)</f>
        <v>712</v>
      </c>
      <c r="D129" t="str">
        <f>+Hoja2!C129</f>
        <v>Secretaría de Participación Ciudadana</v>
      </c>
      <c r="E129" s="15" t="str">
        <f>+MID(Hoja2!F129,1,2)</f>
        <v>60</v>
      </c>
      <c r="F129" t="str">
        <f>+MID(Hoja2!F129,4,20)</f>
        <v>SAN CRISTOBAL</v>
      </c>
      <c r="G129" t="str">
        <f>+Hoja2!G129</f>
        <v>11 encuentros sectoriales para la elección de representantes al CCCP</v>
      </c>
      <c r="H129" t="str">
        <f>+Hoja2!H129</f>
        <v>N/A</v>
      </c>
    </row>
    <row r="130" spans="1:8" hidden="1" x14ac:dyDescent="0.2">
      <c r="A130">
        <f>+Hoja2!A130</f>
        <v>204213</v>
      </c>
      <c r="B130" s="13" t="str">
        <f>+MID(+Hoja2!B130,1,10)</f>
        <v>28/07/2021</v>
      </c>
      <c r="C130">
        <f>+VLOOKUP(D130,DepMaster!$B:$C,2,FALSE)</f>
        <v>712</v>
      </c>
      <c r="D130" t="str">
        <f>+Hoja2!C130</f>
        <v>Secretaría de Participación Ciudadana</v>
      </c>
      <c r="E130" s="15" t="str">
        <f>+MID(Hoja2!F130,1,2)</f>
        <v>70</v>
      </c>
      <c r="F130" t="str">
        <f>+MID(Hoja2!F130,4,20)</f>
        <v>ALTAVISTA</v>
      </c>
      <c r="G130" t="str">
        <f>+Hoja2!G130</f>
        <v>2 encuentros sectoriales para la elección de representantes al CCCP</v>
      </c>
      <c r="H130" t="str">
        <f>+Hoja2!H130</f>
        <v>N/A</v>
      </c>
    </row>
    <row r="131" spans="1:8" hidden="1" x14ac:dyDescent="0.2">
      <c r="A131">
        <f>+Hoja2!A131</f>
        <v>204213</v>
      </c>
      <c r="B131" s="13" t="str">
        <f>+MID(+Hoja2!B131,1,10)</f>
        <v>28/07/2021</v>
      </c>
      <c r="C131">
        <f>+VLOOKUP(D131,DepMaster!$B:$C,2,FALSE)</f>
        <v>712</v>
      </c>
      <c r="D131" t="str">
        <f>+Hoja2!C131</f>
        <v>Secretaría de Participación Ciudadana</v>
      </c>
      <c r="E131" s="15" t="str">
        <f>+MID(Hoja2!F131,1,2)</f>
        <v>90</v>
      </c>
      <c r="F131" t="str">
        <f>+MID(Hoja2!F131,4,20)</f>
        <v>SANTA ELENA</v>
      </c>
      <c r="G131" t="str">
        <f>+Hoja2!G131</f>
        <v>12 encuentros sectoriales para la elección de representantes al CCCP</v>
      </c>
      <c r="H131" t="str">
        <f>+Hoja2!H131</f>
        <v>N/A</v>
      </c>
    </row>
    <row r="132" spans="1:8" hidden="1" x14ac:dyDescent="0.2">
      <c r="A132">
        <f>+Hoja2!A132</f>
        <v>204955</v>
      </c>
      <c r="B132" s="13" t="str">
        <f>+MID(+Hoja2!B132,1,10)</f>
        <v>29/07/2021</v>
      </c>
      <c r="C132">
        <f>+VLOOKUP(D132,DepMaster!$B:$C,2,FALSE)</f>
        <v>707</v>
      </c>
      <c r="D132" t="str">
        <f>+Hoja2!C132</f>
        <v>Secretaría de Servicios y Suministros</v>
      </c>
      <c r="E132" s="15" t="str">
        <f>+MID(Hoja2!F132,1,2)</f>
        <v>80</v>
      </c>
      <c r="F132" t="str">
        <f>+MID(Hoja2!F132,4,20)</f>
        <v>SAN ANTONIO DE PRADO</v>
      </c>
      <c r="G132" t="str">
        <f>+Hoja2!G132</f>
        <v>Socialización del proyecto Protección del recurso hídrico ley 99 de 1993. Secretaría de Medio Ambiente, predios ubicados en el Sector Caño Naranjito, San Antonio de Prado.</v>
      </c>
      <c r="H132" t="str">
        <f>+Hoja2!H132</f>
        <v xml:space="preserve">No aplica </v>
      </c>
    </row>
  </sheetData>
  <autoFilter ref="A1:H132" xr:uid="{00000000-0001-0000-0200-000000000000}">
    <filterColumn colId="4">
      <filters>
        <filter val="60"/>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6"/>
  <sheetViews>
    <sheetView workbookViewId="0">
      <selection activeCell="F25" sqref="F25"/>
    </sheetView>
  </sheetViews>
  <sheetFormatPr baseColWidth="10" defaultRowHeight="15" x14ac:dyDescent="0.2"/>
  <cols>
    <col min="2" max="2" width="55.1640625" bestFit="1" customWidth="1"/>
  </cols>
  <sheetData>
    <row r="1" spans="2:3" x14ac:dyDescent="0.2">
      <c r="B1" t="s">
        <v>400</v>
      </c>
      <c r="C1" t="s">
        <v>405</v>
      </c>
    </row>
    <row r="2" spans="2:3" x14ac:dyDescent="0.2">
      <c r="B2" t="s">
        <v>85</v>
      </c>
      <c r="C2">
        <v>761</v>
      </c>
    </row>
    <row r="3" spans="2:3" x14ac:dyDescent="0.2">
      <c r="B3" t="s">
        <v>69</v>
      </c>
      <c r="C3">
        <v>956</v>
      </c>
    </row>
    <row r="4" spans="2:3" x14ac:dyDescent="0.2">
      <c r="B4" t="s">
        <v>95</v>
      </c>
      <c r="C4">
        <v>723</v>
      </c>
    </row>
    <row r="5" spans="2:3" x14ac:dyDescent="0.2">
      <c r="B5" t="s">
        <v>104</v>
      </c>
      <c r="C5">
        <v>751</v>
      </c>
    </row>
    <row r="6" spans="2:3" x14ac:dyDescent="0.2">
      <c r="B6" t="s">
        <v>120</v>
      </c>
      <c r="C6">
        <v>762</v>
      </c>
    </row>
    <row r="7" spans="2:3" x14ac:dyDescent="0.2">
      <c r="B7" t="s">
        <v>134</v>
      </c>
      <c r="C7">
        <v>742</v>
      </c>
    </row>
    <row r="8" spans="2:3" x14ac:dyDescent="0.2">
      <c r="B8" t="s">
        <v>175</v>
      </c>
      <c r="C8">
        <v>705</v>
      </c>
    </row>
    <row r="9" spans="2:3" x14ac:dyDescent="0.2">
      <c r="B9" t="s">
        <v>179</v>
      </c>
      <c r="C9">
        <v>703</v>
      </c>
    </row>
    <row r="10" spans="2:3" x14ac:dyDescent="0.2">
      <c r="B10" t="s">
        <v>183</v>
      </c>
      <c r="C10">
        <v>732</v>
      </c>
    </row>
    <row r="11" spans="2:3" x14ac:dyDescent="0.2">
      <c r="B11" t="s">
        <v>220</v>
      </c>
      <c r="C11">
        <v>724</v>
      </c>
    </row>
    <row r="12" spans="2:3" x14ac:dyDescent="0.2">
      <c r="B12" t="s">
        <v>230</v>
      </c>
      <c r="C12">
        <v>771</v>
      </c>
    </row>
    <row r="13" spans="2:3" x14ac:dyDescent="0.2">
      <c r="B13" t="s">
        <v>244</v>
      </c>
      <c r="C13">
        <v>711</v>
      </c>
    </row>
    <row r="14" spans="2:3" x14ac:dyDescent="0.2">
      <c r="B14" t="s">
        <v>253</v>
      </c>
      <c r="C14">
        <v>706</v>
      </c>
    </row>
    <row r="15" spans="2:3" x14ac:dyDescent="0.2">
      <c r="B15" t="s">
        <v>256</v>
      </c>
      <c r="C15">
        <v>714</v>
      </c>
    </row>
    <row r="16" spans="2:3" x14ac:dyDescent="0.2">
      <c r="B16" t="s">
        <v>263</v>
      </c>
      <c r="C16">
        <v>752</v>
      </c>
    </row>
    <row r="17" spans="2:3" x14ac:dyDescent="0.2">
      <c r="B17" t="s">
        <v>271</v>
      </c>
      <c r="C17">
        <v>722</v>
      </c>
    </row>
    <row r="18" spans="2:3" x14ac:dyDescent="0.2">
      <c r="B18" t="s">
        <v>289</v>
      </c>
      <c r="C18">
        <v>753</v>
      </c>
    </row>
    <row r="19" spans="2:3" x14ac:dyDescent="0.2">
      <c r="B19" t="s">
        <v>296</v>
      </c>
      <c r="C19">
        <v>713</v>
      </c>
    </row>
    <row r="20" spans="2:3" x14ac:dyDescent="0.2">
      <c r="B20" t="s">
        <v>238</v>
      </c>
      <c r="C20">
        <v>954</v>
      </c>
    </row>
    <row r="21" spans="2:3" x14ac:dyDescent="0.2">
      <c r="B21" t="s">
        <v>304</v>
      </c>
      <c r="C21">
        <v>741</v>
      </c>
    </row>
    <row r="22" spans="2:3" x14ac:dyDescent="0.2">
      <c r="B22" t="s">
        <v>312</v>
      </c>
      <c r="C22">
        <v>743</v>
      </c>
    </row>
    <row r="23" spans="2:3" x14ac:dyDescent="0.2">
      <c r="B23" t="s">
        <v>318</v>
      </c>
      <c r="C23">
        <v>721</v>
      </c>
    </row>
    <row r="24" spans="2:3" x14ac:dyDescent="0.2">
      <c r="B24" t="s">
        <v>331</v>
      </c>
      <c r="C24">
        <v>733</v>
      </c>
    </row>
    <row r="25" spans="2:3" x14ac:dyDescent="0.2">
      <c r="B25" t="s">
        <v>352</v>
      </c>
      <c r="C25">
        <v>712</v>
      </c>
    </row>
    <row r="26" spans="2:3" x14ac:dyDescent="0.2">
      <c r="B26" t="s">
        <v>366</v>
      </c>
      <c r="C26">
        <v>707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2021-08-11T20:29:19Z</dcterms:modified>
</cp:coreProperties>
</file>