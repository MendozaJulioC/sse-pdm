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2" codeName="{D272C609-87CA-5A14-B04D-65DF03BDDAF1}"/>
  <workbookPr codeName="ThisWorkbook"/>
  <mc:AlternateContent xmlns:mc="http://schemas.openxmlformats.org/markup-compatibility/2006">
    <mc:Choice Requires="x15">
      <x15ac:absPath xmlns:x15ac="http://schemas.microsoft.com/office/spreadsheetml/2010/11/ac" url="/Users/juliocesarmendoza/Desktop/pipApp/Backend-pi/src/public/uploads/"/>
    </mc:Choice>
  </mc:AlternateContent>
  <xr:revisionPtr revIDLastSave="0" documentId="13_ncr:1_{5050B52C-FD11-7C4C-B9FF-7905C04BF94B}" xr6:coauthVersionLast="47" xr6:coauthVersionMax="47" xr10:uidLastSave="{00000000-0000-0000-0000-000000000000}"/>
  <bookViews>
    <workbookView xWindow="51980" yWindow="5020" windowWidth="38400" windowHeight="19860" activeTab="2" xr2:uid="{00000000-000D-0000-FFFF-FFFF00000000}"/>
  </bookViews>
  <sheets>
    <sheet name="Hoja1" sheetId="1" r:id="rId1"/>
    <sheet name="Hoja2" sheetId="2" r:id="rId2"/>
    <sheet name="Hoja3" sheetId="3" r:id="rId3"/>
    <sheet name="DepMaster" sheetId="4" r:id="rId4"/>
  </sheets>
  <definedNames>
    <definedName name="_xlnm._FilterDatabase" localSheetId="2" hidden="1">Hoja3!$A$1:$H$77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3" l="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2" i="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H2" i="3" l="1"/>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alcChain>
</file>

<file path=xl/sharedStrings.xml><?xml version="1.0" encoding="utf-8"?>
<sst xmlns="http://schemas.openxmlformats.org/spreadsheetml/2006/main" count="999" uniqueCount="275">
  <si>
    <t>NOMBRE</t>
  </si>
  <si>
    <t>FECHA</t>
  </si>
  <si>
    <t>Dependencia/Gerencia/Depa</t>
  </si>
  <si>
    <t>Nombre_Secretario/Dir/Gere</t>
  </si>
  <si>
    <t>Cargo_específico</t>
  </si>
  <si>
    <t>a)_Comuna_1:</t>
  </si>
  <si>
    <t>b)_Logro_1:</t>
  </si>
  <si>
    <t>c)_Cifras_1</t>
  </si>
  <si>
    <t>a)_Comuna_2:</t>
  </si>
  <si>
    <t>b)_Logro_2:</t>
  </si>
  <si>
    <t>c)_Cifras_2</t>
  </si>
  <si>
    <t>a)_Comuna_3:</t>
  </si>
  <si>
    <t>b)_Logro_3:</t>
  </si>
  <si>
    <t>c)_Cifras_3</t>
  </si>
  <si>
    <t>a)_Comuna_4:</t>
  </si>
  <si>
    <t>b)_Logro_4:</t>
  </si>
  <si>
    <t>c)_Cifras_4</t>
  </si>
  <si>
    <t>a)_Comuna_5:</t>
  </si>
  <si>
    <t>b)_Logro_5:</t>
  </si>
  <si>
    <t>c)_Cifras_5</t>
  </si>
  <si>
    <t>a)_Comuna_6:</t>
  </si>
  <si>
    <t>b)_Logro_6:</t>
  </si>
  <si>
    <t>c)_Cifras_6</t>
  </si>
  <si>
    <t>a)_Comuna_7:</t>
  </si>
  <si>
    <t>b)_Logro_7:</t>
  </si>
  <si>
    <t>c)_Cifras_7</t>
  </si>
  <si>
    <t>a)_Comuna_8:</t>
  </si>
  <si>
    <t>b)_Logro_8:</t>
  </si>
  <si>
    <t>c)_Cifras_8</t>
  </si>
  <si>
    <t>a)_Comuna_9:</t>
  </si>
  <si>
    <t>b)_Logro_9:</t>
  </si>
  <si>
    <t>c)_Cifras_9</t>
  </si>
  <si>
    <t>a)_Comuna_10:</t>
  </si>
  <si>
    <t>b)_Logro_10:</t>
  </si>
  <si>
    <t>c)_Cifras_10</t>
  </si>
  <si>
    <t>a)_Comuna_11:</t>
  </si>
  <si>
    <t>b)_Logro_11:</t>
  </si>
  <si>
    <t>c)_Cifras_11</t>
  </si>
  <si>
    <t>a)_Comuna_12:</t>
  </si>
  <si>
    <t>b)_Logro_12:</t>
  </si>
  <si>
    <t>c)_Cifras_12</t>
  </si>
  <si>
    <t>a)_Comuna_13:</t>
  </si>
  <si>
    <t>b)_Logro_13:</t>
  </si>
  <si>
    <t>c)_Cifras_13</t>
  </si>
  <si>
    <t>a)_Comuna_14:</t>
  </si>
  <si>
    <t>b)_Logro_14:</t>
  </si>
  <si>
    <t>c)_Cifras_14</t>
  </si>
  <si>
    <t>a)_Comuna_15:</t>
  </si>
  <si>
    <t>b)_Logro_15:</t>
  </si>
  <si>
    <t>c)_Cifras_15</t>
  </si>
  <si>
    <t>a)_Comuna_16:</t>
  </si>
  <si>
    <t>b)_Logro_16:</t>
  </si>
  <si>
    <t>c)_Cifras_16</t>
  </si>
  <si>
    <t>a)_Comuna_17:</t>
  </si>
  <si>
    <t>b)_Logro_17:</t>
  </si>
  <si>
    <t>c)_Cifras_17</t>
  </si>
  <si>
    <t>a)_Comuna_18:</t>
  </si>
  <si>
    <t>b)_Logro_18:</t>
  </si>
  <si>
    <t>c)_Cifras_18</t>
  </si>
  <si>
    <t>a)_Comuna_19:</t>
  </si>
  <si>
    <t>b)_Logro_19:</t>
  </si>
  <si>
    <t>c)_Cifras_19</t>
  </si>
  <si>
    <t>a)_Comuna_20:</t>
  </si>
  <si>
    <t>b)_Logro_20:</t>
  </si>
  <si>
    <t>c)_Cifras_20</t>
  </si>
  <si>
    <t>a)_Comuna_21:</t>
  </si>
  <si>
    <t>b)_Logro_21:</t>
  </si>
  <si>
    <t>c)_Cifras_21</t>
  </si>
  <si>
    <t>Gerencia de Diversidades Sexuales e Identidades de Género</t>
  </si>
  <si>
    <t>10-LA CANDELARIA</t>
  </si>
  <si>
    <t>06-DOCE DE OCTUBRE</t>
  </si>
  <si>
    <t>90-SANTA ELENA</t>
  </si>
  <si>
    <t>14-EL POBLADO</t>
  </si>
  <si>
    <t>Departamento Administrativo de Planeación</t>
  </si>
  <si>
    <t>01-POPULAR</t>
  </si>
  <si>
    <t>N/A</t>
  </si>
  <si>
    <t>Secretaría de las Mujeres</t>
  </si>
  <si>
    <t>07-ROBLEDO</t>
  </si>
  <si>
    <t>Secretaría de Desarrollo Económico</t>
  </si>
  <si>
    <t>13-SAN JAVIER</t>
  </si>
  <si>
    <t>04-ARANJUEZ</t>
  </si>
  <si>
    <t>11-LAURELES</t>
  </si>
  <si>
    <t>08-VILLA HERMOSA</t>
  </si>
  <si>
    <t>sin cifras</t>
  </si>
  <si>
    <t>05-CASTILLA</t>
  </si>
  <si>
    <t>Secretaría de Gestión y Control Territorial</t>
  </si>
  <si>
    <t>60-SAN CRISTOBAL</t>
  </si>
  <si>
    <t>Secretaría de Medio Ambiente</t>
  </si>
  <si>
    <t>03-MANRIQUE</t>
  </si>
  <si>
    <t>16-BELEN</t>
  </si>
  <si>
    <t>70-ALTAVISTA</t>
  </si>
  <si>
    <t>50-PALMITAS</t>
  </si>
  <si>
    <t>Secretaría General</t>
  </si>
  <si>
    <t>Secretaría de Evaluación y Control</t>
  </si>
  <si>
    <t>-</t>
  </si>
  <si>
    <t>Secretaría de Seguridad y Convivencia</t>
  </si>
  <si>
    <t>02-SANTA CRUZ</t>
  </si>
  <si>
    <t>12-LA AMERICA</t>
  </si>
  <si>
    <t>15-GUAYABAL</t>
  </si>
  <si>
    <t>80-SAN ANTONIO DE PRADO</t>
  </si>
  <si>
    <t>Secretaría de la Juventud</t>
  </si>
  <si>
    <t>Gerencia del Centro</t>
  </si>
  <si>
    <t>Gerencia de Etnias</t>
  </si>
  <si>
    <t>Secretaría de Educación</t>
  </si>
  <si>
    <t>Secretaría de Gestión Humana y Servicio a la Ciudadanía</t>
  </si>
  <si>
    <t>Buen Comienzo</t>
  </si>
  <si>
    <t>Secretaria de Innovación Digital</t>
  </si>
  <si>
    <t>Secretaría de Inclusión, Familia y Derechos Humanos</t>
  </si>
  <si>
    <t>Gerencia de Corregimientos</t>
  </si>
  <si>
    <t>Secretaría de Cultura Ciudadanía</t>
  </si>
  <si>
    <t>Secretaría de Infraestructura Física</t>
  </si>
  <si>
    <t>Secretaría de Movilidad</t>
  </si>
  <si>
    <t>.</t>
  </si>
  <si>
    <t>Secretaría de Salud</t>
  </si>
  <si>
    <t>Departamento Administrativo de Gestión del Riesgo de Desastres</t>
  </si>
  <si>
    <t>Sin dato</t>
  </si>
  <si>
    <t>Secretaría de Participación Ciudadana</t>
  </si>
  <si>
    <t>Secretaría de Servicios y Suministros</t>
  </si>
  <si>
    <t>Comuna</t>
  </si>
  <si>
    <t>Nombre</t>
  </si>
  <si>
    <t>Fecha</t>
  </si>
  <si>
    <t>Dependencia</t>
  </si>
  <si>
    <t>Logro</t>
  </si>
  <si>
    <t>Cifras</t>
  </si>
  <si>
    <t>Ordenador</t>
  </si>
  <si>
    <t>Cargo</t>
  </si>
  <si>
    <t>Cod_dep</t>
  </si>
  <si>
    <t>cod_comuna</t>
  </si>
  <si>
    <t>09-BUENOS AIRES</t>
  </si>
  <si>
    <t>Se espera contar con la participación de 30 jóvenes.</t>
  </si>
  <si>
    <t>Secretraría de Comunicaciones</t>
  </si>
  <si>
    <t>203023</t>
  </si>
  <si>
    <t>SD</t>
  </si>
  <si>
    <t xml:space="preserve">Formación en temas de diversidades sexuales e identidades de genero a las y los funcionarios de distintas dependencias de la alcaldía de Medellín  </t>
  </si>
  <si>
    <t xml:space="preserve">82 funcionarios reciben formación a través de plataforma virtual. </t>
  </si>
  <si>
    <t xml:space="preserve">Se establece en los territorios la oportunidad de dar a conocer que es y cual es el impacto que se genera con la política publica de diversidades sexuales </t>
  </si>
  <si>
    <t>Se fortalece la articulación con  el parque biblioteca del doce de octubre y se impactan a 18 personas. y con comfenalco 34 personas.</t>
  </si>
  <si>
    <t>Conversatorios sobre diversidades y la política publica en corregimientos, escenarios donde poco se ha promovido los temas de diversidad, convirtiéndose en un reto seguir posicionando discursos desde la diferencia y el respeto.</t>
  </si>
  <si>
    <t xml:space="preserve">Santa Elena 7 personas
San sebastian de palmitas 7 personas </t>
  </si>
  <si>
    <t>se concertó con la comunidad generar unos diálogos dos semanales con las personas que ejercen la prostitución con el fin de llegar a unos acuerdos que permitan resolver la problemática.</t>
  </si>
  <si>
    <t>participación en la comisión accidental de mas de 50 personas entre ellas la comunidad y la institucionalidad ( seguridad, inclusión, juventud, gestión territorial, personería, diversidad)</t>
  </si>
  <si>
    <t>Recorrido por 6 colegios de la comuna, logrando dar a conocer la gerencia, sus programas y la importancia de incluir el enfoque diferencial en las instituciones que desconocían nuestra presencia y existencia.</t>
  </si>
  <si>
    <t xml:space="preserve">6 colegios de la comuna nueve, gran acogida y muchos retos para iniciar formación con los profesores. Además esta estrategia estuvo acompañada del jefe de núcleo siendo muy positiva para la articulación </t>
  </si>
  <si>
    <t>203662</t>
  </si>
  <si>
    <t>En el encuentro participaron aproximadamente 97 líderes representando organizaciones como: JAL, Adulto Mayor y Consejo Comunal de Planeación, quienes fueron atendidos en espacios de diálogo con la Secretaría de Participación Ciudadana, lo que permitió escuchar sus necesidades y problemáticas, plantear soluciones y asumir compromisos. 
En el encuentro, se invitó a la comunidad a conocer la oferta institucional a través de una feria de servicios desarrollada en el Parque del Barrio Villa Hermosa, con amplia participación de la ciudadanía y la instalación de 20 stand de la Secretaría de Participación Ciudadana y la Comunidad.</t>
  </si>
  <si>
    <t xml:space="preserve">"Encuentro formativo La conversación como mediación en la Participación Ciudadana. Fecha: 29 de septiembre de 2021. Hora: 02:00 pm Total de participantes:28 Total de Mujeres: 21 (75%) Total de Hombre: 7 Reporte Comuna 1. Popular: 1 3. Manrique: 1 4. Aranjuez: 2 5. Castilla: 1 7. Robledo: 2 9. Buenos Aires: 1 10. La Candelaría: 1 11. Laureles Estadio: 4 14. El Poblado: 1 16. Belén: 1 80. San Antonio de Prado: 2 60. San Cristóbal: 1 Otro Municipio: 1 No especifica: 91"
</t>
  </si>
  <si>
    <t xml:space="preserve">A través de la estrategia Ruta Medellín Cuida lo Público se lograron visitar las comunas  2, 3, 4, 7 y 8 , alcanzando una participación de 274 ciudadanos.
</t>
  </si>
  <si>
    <t xml:space="preserve">En el marco del Seminario virtual de Control Social a la Gestión Pública se tuvo en promedio una participación de 120 representantes de organizaciones e instancias de participación de toda la ciudad.
</t>
  </si>
  <si>
    <t>203770</t>
  </si>
  <si>
    <t>Se realizan informes por usos del suelo por mixtura, a las diferentes inspecciones y corregidurías para actúen frente a sus competencias y se la da traslado al equipo de apoyo de usos del suelo para realizar visitas técnicas e informes técnicos correspondientes.</t>
  </si>
  <si>
    <t>Se realizan tres (3) recorridos en la comuna 11</t>
  </si>
  <si>
    <t xml:space="preserve">Con respecto a Metros cuadrados de espacio públicos recuperados: Recuperación de espacios y predios públicos, a través de los diferentes procesos de remoción en las comuna 4.  </t>
  </si>
  <si>
    <t xml:space="preserve">Remociones: 4. 
Metros cuadrados de espacio públicos recuperados: Total: 130M2. </t>
  </si>
  <si>
    <t xml:space="preserve">Con respecto a Metros cuadrados de espacio públicos recuperados: Recuperación de espacios y predios públicos, a través de los diferentes procesos de remoción en las comuna 5. </t>
  </si>
  <si>
    <t xml:space="preserve">Remociones: 1. 
Metros cuadrados de espacio públicos recuperados: Total 10M2 . </t>
  </si>
  <si>
    <t xml:space="preserve">Con respecto a Metros cuadrados de espacio públicos recuperados: Recuperación de espacios y predios públicos, a través de los diferentes procesos de remoción en las comuna 7. </t>
  </si>
  <si>
    <t xml:space="preserve">Remociones: 1. 
Metros cuadrados de espacio públicos recuperados: Total 20M2 . </t>
  </si>
  <si>
    <t xml:space="preserve">Con respecto a Metros cuadrados de espacio públicos recuperados: Recuperación de espacios y predios públicos, a través de los diferentes procesos de remoción en las comuna 8. </t>
  </si>
  <si>
    <t xml:space="preserve">Remociones:3 . 
Metros cuadrados de espacio públicos recuperados: Total 120M2 . </t>
  </si>
  <si>
    <t xml:space="preserve">Con respecto a Metros cuadrados de espacio públicos recuperados: Recuperación de espacios y predios públicos, a través de los diferentes procesos de remoción en las comuna 60. </t>
  </si>
  <si>
    <t xml:space="preserve">Remociones:7 . 
Metros cuadrados de espacio públicos recuperados: Total 1.445M2 . </t>
  </si>
  <si>
    <t xml:space="preserve">Con respecto a Metros cuadrados de espacio públicos recuperados: Recuperación de espacios y predios públicos, a través de los diferentes procesos de remoción en las comuna 90. </t>
  </si>
  <si>
    <t xml:space="preserve">Remociones:3 . 
Metros cuadrados de espacio públicos recuperados: Total 90M2 . </t>
  </si>
  <si>
    <t xml:space="preserve">GESTORES TERRITORIALES
Dentro del componente de Gestores Territoriales se impactó en las siguientes comunas con dicha estrategia: comuna 7 </t>
  </si>
  <si>
    <t>GESTORES TERRITORIALES
Dentro del componente de Gestores Territoriales se impactó en las siguientes comunas con dicha estrategia: comuna 7 Y 10, y Mesas institucionales en las comuna 50 y comuna 8</t>
  </si>
  <si>
    <t>GESTORES TERRITORIALES
Dentro del componente de Gestores Territoriales se impactó en las siguientes comunas con dicha estrategia: comuna 10</t>
  </si>
  <si>
    <t>GESTORES TERRITORIALES
Dentro del componente de Gestores Territoriales se impactó en las siguientes comunas con dicha estrategia: comuna 8</t>
  </si>
  <si>
    <t>GESTORES TERRITORIALES
Dentro del componente de Gestores Territoriales se impactó en las siguientes comunas con dicha estrategia: comuna 50</t>
  </si>
  <si>
    <t>203830</t>
  </si>
  <si>
    <t>6 de octubre: Acompañaremos la Feria Avanza al Siguiente Nivel de Sapiencia, está enfocada en impulsar la iniciativa del Valle del Software, la cual es comprendida como una estrategia de desarrollo económico con el objetivo de gestionar a partir de la educación, la innovación y el emprendimiento nuevas oportunidades, aprovechando nuestras necesidades y fortalezas para potenciar, sofisticar y diversificar la economía de la ciudad a través de la apertura de nuevos escenarios y la generación de miles de empleos bien remunerados en áreas asociadas a la educación y economía digital.</t>
  </si>
  <si>
    <t>Esperamos contar con la participación de 20 jóvenes.</t>
  </si>
  <si>
    <t>8 de octubre: Desarrollo del proyecto Medellín en la Cabeza y su temática Memoria Joven RURAL</t>
  </si>
  <si>
    <t>Se espera contar con la participación de 50 jóvenes.</t>
  </si>
  <si>
    <t>6 de octubre: espacio de formación dinámica con estudiantes del programa Líderes San Lorenzanos, que responde a plan de trabajo priorizado con la Institución.</t>
  </si>
  <si>
    <t>Se espera contar con la participación de 20 jóvenes.</t>
  </si>
  <si>
    <t xml:space="preserve"> Espacio de formación dinámica con estudiantes del grado once, que responde a plan de trabajo priorizado con la Institución.      </t>
  </si>
  <si>
    <t>6 de octubre: Se espera contar con la participación de 30 jóvenes.</t>
  </si>
  <si>
    <t>6 de octubre: Realizar un recorrido ambiental dentro de las instalaciones del Museo del agua EPM en donde los asistentes encontraran estaciones de interacción con el recurso hídricos, ciclos del agua y problemáticas por el abastecimiento y acceso a la misma</t>
  </si>
  <si>
    <t>5 de octubre: Encuentro Zafra. Definir estrategias con el programa Hábitat Joven, para el desarrollar actividades en promoción del cuidado al medio ambiente	.</t>
  </si>
  <si>
    <t>Se contó con la participación de 10 jóvenes.</t>
  </si>
  <si>
    <t xml:space="preserve">Inicio al ciclo de acompañamientos en salud mental y manejo de las emociones a estudiantes </t>
  </si>
  <si>
    <t>Se contó con la participación de 20 jóvenes.</t>
  </si>
  <si>
    <t>203831</t>
  </si>
  <si>
    <t>1 de octubre: 43 agentes educativos de la Comuna 13 aclararon dudas en relación con las diferencias que existen entre escuela mixta y escuela coeducativa, lo que contribuye en la transformación de imaginarios culturales sexistas dentro del ámbito educativo.</t>
  </si>
  <si>
    <t>203863</t>
  </si>
  <si>
    <t xml:space="preserve">Se reinició el procedimiento para definir responsabilidad por el código de infracción D12 "Conducir un vehículo que, sin la debida autorización, se destine a un servicio diferente de aquel para el cual tiene licencia de tránsito. Además, el vehículo será inmovilizado por primera vez, por el término de cinco días, por segunda vez veinte días y por tercera vez cuarenta días". 	 
Consolidación y socialización con los directivos de la Secretaría de Movilidad del Plan Anual de Adquisiciones 2022
Se continuará con el análisis de las experiencias internacionales similares a lo que se busca lograr con la política pública de movilidad sostenible.
Se realizará la generación de script para automatizar monitoreo de eventos, también se llevará a cabo la reunión con Metro para puesta en común de eventos a recibir y metodología tecnología a implementar, se realizará la prueba técnica para la recepción de datos de todas las cámaras LPR y se dará solución al problema de almacenamiento servidores Big Data de CITRA.
Se socializará dentro del grupo No.2 la experiencia obtenida en vehículos de tecnologías limpias por parte de Metro y se socializará por parte de la Universidad de Antioquia su experiencia con el estudio de buses eléctricos en la ciudad.
Se llevó a cabo la Audiencia de Adjudicación del Contrato de Obra de Señalización Vial.	
Se publicó Acta de Adjudicación para los Contratos de Obra e Interventoría de Señalización Vial.	
Se está estructurando la programación de actividades a ejecutar con el contrato de Señalización Vial.
Con las intervenciones en sectores de mayor riesgo de incidentalidad en la ciudad se logró durante esta semana intervenir un total de 6.528 personas, en lo que va del año la cifra es de 62.525 personas.	
Se realizaron puntos pedagógicos durante el primer fin de semana del mes de octubre en el corregimiento de Palmitas en articulación con la EDU, en dicha actividad se logó impactar un total de 100 personas	
Participación en jornada de puntos ciegos para motociclistas en el peaje Vía occidente de manera articulada con la concesión Devimar en la cual se sensibilizaron un total de 57 personas.	
Se participó de la Fiesta del Libro y La Cultura con sensibilizaciones itinerantes con agentes infantiles de tránsito y sketch teatral de Visión Cero con gran acogida por los asistentes y un total de 1.571 personas sensibilizadas.
</t>
  </si>
  <si>
    <t>203880</t>
  </si>
  <si>
    <t>203905</t>
  </si>
  <si>
    <t>-Intervención Paisajística en la Quebrada La Moscú Carrera 42C No. 101B 30 Interior 103 Comuna 2: Mantenimiento de jardines y árboles en la Quebrada Juan Bobo Carrera 49 B Calle 105.
-Actividad: rescate de caninos 4 y felinos 2, en los barrios: Granizal, Popular y Santo Domingo
animales atendidos: 6</t>
  </si>
  <si>
    <t>animales atendidos: 6</t>
  </si>
  <si>
    <t>-Sector La Isla Intervención Puntual asociada a punto crítico. 
Logro: Sostenibilidad del espacio intervenido. 
Indicadores: 
Limpieza zona verde: 100 m2, 
Retiro de publicidad: 14 postes, 
Pintura parque infantil: 12 módulos.  
Recurso impactado: Recurso Hídrico, Aire.
-Actividad: se rescata 1 canino, en el barrio, Villa del Socorro
Animales atendidos: 1</t>
  </si>
  <si>
    <t>Animales atendidos: 1</t>
  </si>
  <si>
    <t>-Sector La Graciela.  Intervención Puntual asociada a punto crítico. 
Logro: Sostenibilidad del espacio intervenido. 
Indicadores: 
Rocería :200m2
Recolección de RCD: 5 m3
Recolección de voluminosos: 3 m3
Pintura de pasamanos: 50 m2. 
Recurso impactado: Recurso Hídrico, Aire.
-Intervenciones Paisajísticas en la Quebradas La Bermejala (Carrera 36 con calle 91) La Tebaida (Calle 84 con carrera 39 hasta la Calle 86AD con carrera 36),  El Molino (Carrera 47 #74-20) y La Honda (Calle 71AA entre carrera 42 y 43 y calle 71 con carrera 47).
-Actividad: se rescata 1 canino, en el barrio,  la Honda
Animales atendidos: 1</t>
  </si>
  <si>
    <t xml:space="preserve">-Actividad: Esterilizaciones entre caninos y felinos.
Animales atendidos: 113
-Actividad: se implanta el microchip a caninos y felinos 
Animales atendidos: 116
</t>
  </si>
  <si>
    <t xml:space="preserve">-Con cuadrilla de obreros de Cobertura se realizaron de actividades de mantenimiento en Caño La Feria o La Toscana, Comuna 5, sector Autopista Norte-Feria de Ganados, se realizaron actividades de desobstrucción de estructura hidráulica, mediante la extracción de 20 metros cúbicos de sedimentos.
</t>
  </si>
  <si>
    <t>-Mantenimiento preventivo y curativo a los árboles con declaratoria de patrimonio cultural arbóreo, visita de diagnóstico en la comuna 6 (1 árbol).</t>
  </si>
  <si>
    <t>-Prevención y mitigación de riesgos derivados de árboles: 2 talas en la comuna 7.
Actividad: rescate de 3 felinos en los barrios, Villa Flora y Olaya Herrera
Animales atendidos: 3
Actividad: sensibilización en Robledo a 7 personas
Personas atendidas: 7
Actividad: esterilizaciones entre caninos y felinos
Animales atendidos: 94 
Actividad:  se implanta el microchip a caninos y felinos 
Animales atendidos: 93
Actividad: Se promueve la adopción responsable  de los  caninos y felinos del centro de bienestar animal la perla, durante el desarrollo del evento participaron  30 caninos y 21 felinos  con diferentes características (edad, tamaño, temperamento entre otros),  los cuales podrán ser adoptados durante la jornada , y se llevo acabo, entre los días 24, 25 26 de septiembre en  florida parque comercial.</t>
  </si>
  <si>
    <t xml:space="preserve">-Mantenimiento de árboles en la Quebradas Caño x (Calle 57A con carrera 27, sector El Pueblito y Calle 56EF 56EC 48), Chorro Hondo (Carrera 27 Calle 57), La Arenera (Calle 57 DD con Carrera 23), La Loquita y La Gallinaza 1 (Calle 56D con Carrera 17) y Chorro Hondo (Carrera 16 D No.57B- 98 int.136).
-Prevención y mitigación de riesgos derivados de árboles: 2 talas en la comuna 8
-Actividad: rescate de 2 felinos, en los barrios, Enciso, El Pinal
Animales atendidos: 2 </t>
  </si>
  <si>
    <t>-Mantenimiento de jardines y árboles en la quebrada La Pastora (calle 44 e carrera 8).
-Actividad. rescate de 1 felino, en el barrio, El Salvador
Animales atendidos: 1</t>
  </si>
  <si>
    <t>Sector Parque Obrero. Intervención  Ambiental en marco brigadas Gerencia Centro. 
Logro: Sostenibilidad del Espacio Intervenido.  
Indicadores: 
Evaluación de individuos arboreos:7 para tala y 1 para poda. 
Retiro de publicidad: 26 postes, 
Pintura de bailarinas: 12 unidades
Pintura de bancas: 22 unidades
Pintura de parque: 8 módulos
Pintura de muros vandalizados: 147 m2
Lavado de zonas duras: 960 m2
Jardinería: 3750 m2 
Limpieza de sumideros: 76 rejillas 
Pintura de pasamanos: 27 m lineales. 
Recurso impactado : Recurso Hídrico- Aire
-Búsqueda y marcación de sitios para siembra de árboles en la Margen derecha del Río Aburrá, iniciando desde la calle 32 (a la altura del puente de Guayaquil) y en dirección Norte hasta la calle 41 (frente a Plaza Mayor); Margen izquierdo del Río Aburrá, iniciando desde la calle 33 y en dirección Norte; Margen izquierdo del Río Aburrá, iniciando desde cercanías de la calle 33 y en dirección Norte hasta la calle 33.
-Mantenimiento preventivo y curativo a los árboles con declaratoria de patrimonio cultural arbóreo en la comuna 10 (7 árboles).
-Actividad: rescate de 2 caninos, 1 felino en los barrios, Prado Centro, Minorista, Jesus Nazareno.
Animales Atendidos: 3</t>
  </si>
  <si>
    <t>Sector quebrada La Picacha Intervención  Ambiental. 
Logro: Intervención Integral espacio Intervenido. 
Indicadores:
Jardinería: 589 m2
Evaluación de individuos arbóreos: 2 arboles
Rocería: 850 m2
Pintura de pasamanos: 108m
Retiro de publicidad: 28 postes
Pintura de muros vandalizados:  puente vehicular La 65: 58m2 y 4 columnas. Ingresos del puente peatonal sobre la 33: 25m2
Lavado de zonas duras: 46m2
Limpieza de zonas verdes: 624m lineales
Limpieza de sumideros: 53 rejillas
Retiro de cambuches: 3 unidades 
Recurso impactado : Recurso Hídrico- Aire.
-Actividad: rescate de 2 felinos y 1 canino, en los barrios del Estadio y La Castellana 
Animales atendidos: 3
-Actividad: El día 29 de septiembre de 2021 se recibe llamado del módulo ambiental 123 del Municipio de Medellín, reportando un equino abandonado en vía pública, el testigo manifiesta que el animal se encuentra en el mismo lugar desde las 5:0 am y no tiene ningún propietario, manifiesta que por seguridad deciden que entran el animal a las instalaciones del edificio SIATA con el fin de proteger el animal de un accidente en vía pública mientras el equipo del Centro de veterinaria y Zootecnia de la universidad CES llegan al sitio. El equipo de Centro de veterinaria y Zootecnia de la universidad CES se desplaza hacia el lugar para atender el evento, se toman las respectivas medidas de acuerdo a protocolo del programa, se procede a embarcar el animal en el vehículo y posteriormente trasladarlo al CVZ donde se recibe y se inicia protocolo de ingreso.
Animales atendidos: 1</t>
  </si>
  <si>
    <t>-Con cuadrilla de obreros de Cobertura se realizaron de actividades de mantenimiento en La Picacha de la Comuna 12 actividades de limpieza y mantenimiento de cauce, y se extrajeron 10 metros cúbicos de residuos solidos (Basura).
-Quebrada La Hueso, CL47D con Carera 81A, sector Estación Floresta del Sistema Metro, Comuna 12, se han reparado y reconstruido 70 metros de placas y 50 metros de pisos, además de la reconformación de llenos y adecuación de márgenes, con un avance total del 92%.
-Actividad: rescate de 1 canino, en el barrio, Aguas Frías.
Animales atendidos: 1</t>
  </si>
  <si>
    <t>-Mantenimiento preventivo y curativo a los árboles con declaratoria de patrimonio cultural arbóreo en la comuna 13 (8 árboles).</t>
  </si>
  <si>
    <t>-Mantenimiento de jardines en el Eco parque Los Naranjos: Quebradas La Escopetería (calle 1 a sur entre carreras 29 y 29c) y la olleta (calle 1 a sur entre carreras 29 y 29c).
-Prevención y mitigación de riesgos derivados de árboles: 4 retiros en la comuna 14.</t>
  </si>
  <si>
    <t>-Con cuadrilla de obreros de Cobertura se realizaron de actividades de mantenimiento en Quebradas La Jabalcona, Comuna 15, se realizan actividades de remoción mecánica de sedimentos, a la fecha se han intervenido 70 metros de canal y se han retirado 336 metros cúbicos de sedimentos.
-Siembra de árboles en el Río Aburrá (autopista sur entre calles 4 sur y 8 y entre calles 6 sur y 4 sur); Recolección de Escombros en las  Quebradas: El Bolo (calle 12c sur hasta carrera 53 -147), La Colinita (calle 10 sur carrera 55), Conservación de Jardines en la Quebrada La Guayabala (carrera 65g calle 14 y carrera 65 calle 1asur hasta carrera 65 calle 23).
-Mantenimiento preventivo y curativo a los árboles con declaratoria de patrimonio cultural arbóreo, visita de diagnóstico en la comuna 15 (1 árbol).
-Actividad: rescate de 1 felino, en el barrio, Cristo Rey.
Animales atendidos: 1
Actividad: esterilizaciones entre caninos y felinos 
Animales atendidos: 114
Actividad: El día 30 de septiembre de 2021 se recibe llamado del módulo ambiental 123 del Municipio de Medellín, reportando un conejo en los hangares de despacho del aeropuerto Olaya Herrera con posibles heridas en las orejas y nariz. El equipo de Centro de veterinaria y Zootecnia de la universidad CES se desplaza hacia el lugar para atender el evento, se toman las respectivas medidas de acuerdo a protocolo del programa, se procede a embarcar el animal en el vehículo y posteriormente trasladarlo al CVZ donde se recibe y se inicia protocolo de ingreso.
Animales atendidos: 1
Actividad: se implanta el microchip a caninos y felinos 
Animales atendidos: 113</t>
  </si>
  <si>
    <t>-Mantenimiento de jardines y árboles en la quebrada AltaVista (Calle 27 Carrera 79a Hasta Carrera 70 Calle 27 Centro De Salud-Gaviotas), en el Preventorio (Carrera78 Calle 24) y en el Colegio Yermo Parres (Calle 28 N° 77-84).
-Mantenimiento preventivo y curativo a los árboles con declaratoria de patrimonio cultural arbóreo en la comuna16 (1 árbol).
-Actividad: rescate de 1 canino, en el barrio, Belén.
Animales atendidos: 1</t>
  </si>
  <si>
    <t xml:space="preserve">-Pago Servicios Ambientales Hídricos (PSAH): Protección de 743,80 ha en conservación y 10,04 ha en restauración, con la firma de los acuerdos en los 5 corregimientos de Medellín, Con esto se aporta al indicador de Áreas de cuencas internas y externas con acciones de conservación.
</t>
  </si>
  <si>
    <t>-Con cuadrilla de obreros de Cobertura se realizaron de actividades de mantenimiento en Quebrada la Ronda, Comuna 60, Corregimiento de San Cristóbal se realizaron actividades de rocería y limpieza de acceso a estructura hidráulica, que afectaba la capacidad hidráulica.
-Pago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esterilización entre caninos y felinos 
Animales atendidos: 117
Actividad: se implantan microchip, entre caninos y felinos 
Animales atendidos: 119</t>
  </si>
  <si>
    <t>-Pago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rescate de 1 canino 1 felino, en AltaVista.
Animales atendidos: 2
Actividad: esterilización externas
Animales atendidos: 101
Actividad: esterilización internas.
Animales atendidos: 9
Actividad: Se implanta microchip entre caninos y felinos 
Animales atendidos: 89</t>
  </si>
  <si>
    <t>-Pago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esterilizaciones uva el paraíso San Antonio de Prado  a caninos y felinos
Animales atendidos:  122
Actividad: Se implanta microchip entre caninos y felinos.
Animales atendidos: 130</t>
  </si>
  <si>
    <t>-Con cuadrilla de obreros de Cobertura se realizaron de actividades de mantenimiento en Quebrada Chacaltaya, Comuna 90. Corregimiento de Santa Elena, actividades de remoción parcial de sedimentos con equipo vactor.
-Pago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esterilizaciones entre caninos y felinos 
Animales atendidos: 108
Actividad:  Se implanta microchip entre caninos y felinos
Animales atendidos:107</t>
  </si>
  <si>
    <t>203928</t>
  </si>
  <si>
    <t>Existen versiones finales de documentos de las ARE, CDF, Asimilación Estratificación. También de una versión muy avanzada del decreto modificatorio de la Participación en Plusvalía.</t>
  </si>
  <si>
    <t>Versión final del Proyecto de Decreto de Reglamentación de la PPPMAEP. Decreto 0818 de 2021.</t>
  </si>
  <si>
    <t>203937</t>
  </si>
  <si>
    <t>	Desde el Banco de las Oportunidades se apoyó El Programa de la Gestora Social PREA (Prevención del Embarazo en Adolescentes), en las caravanas de los días 28 y 30 de septiembre, realizadas, en las comunas 3 Manrique y 7 Robledo, llevando nuestra oferta de servicios del Banco y mostrando una opción de ingresos a este público objetivo.</t>
  </si>
  <si>
    <t>Se continúa con la convocatoria con  recursos de planeación local y presupuesto participativo priorizado para el año 2021 para 735 cupos en las comunas 2, 6, 10, 15 y 90 para la formación en procesos relacionados con la 4RI, industria tradicional y bilingüismo,</t>
  </si>
  <si>
    <t>Al 30  de septiembre se ha logrado la inscripción de 965 personas de todas las comunas mencionadas</t>
  </si>
  <si>
    <t xml:space="preserve">Se logró realizar la micro feria de empleo en la comuna de Belen: </t>
  </si>
  <si>
    <t>121 registros de hojas de vida, 246 postulaciones a las vacantes, 95 personas orientadas en desarrollo ocupacional</t>
  </si>
  <si>
    <t xml:space="preserve">El día 2 de octubre desde las 8:00 am, a las 2:00 pm, realizamos presencia con la vitrina campesina en el parque de San Antonio de Prado, en la conmemoración del día del patrimonio, contando con 8 participantes agricultores. De manera paralela este mismo día de 10:00 am a 5:00 pm realizamos presencia en el parque de los Deseos con la participación de 8 transformadores en una vitrina campesina, acompañando el evento Territorio en Paz. </t>
  </si>
  <si>
    <t xml:space="preserve">El día 9 de octubre se llevará a cabo la Vitrina Campesina, en el marco de la feria de servicios realizada por la Alcaldía de Medellín en el doce de octubre, estaremos desde las 9:00 am a las 3:00 pm, con la participación de 4 productores transformadores. </t>
  </si>
  <si>
    <t xml:space="preserve">El día 15 de octubre se llevará a cabo nuestra gran Vitrina Campesina del Centro Administrativo la Alpujarra, desde las 7:30 am a las 5:00 pm, en la cual tendremos 60 participantes, entre productores, transformadores, productores transformadores. De igual manera en este evento nos encontramos articulados para celebrar la semana de la Alimentación con la Secretaria de Inclusión Social, Familia y Derechos Humanos, por lo cual en el marco de la vitrina se realizarán muestras gastronómicas lideradas por el Equipo de Seguridad Alimentaria (ESAN) de dicha secretaria, conferencias, foros y diferentes actividades en conmemoración de esta semana. </t>
  </si>
  <si>
    <t>203939</t>
  </si>
  <si>
    <t xml:space="preserve">-	Se avanza en  plan de supervisión del contrato 4600091659 de 2021 Presupuesto Participativo con la Empresa Metroparques para la ejecución de los recursos de PL y PP 2.021. Inversión $2.604.762.199, correspondiente a las comunas: 1-Popular, 04 Aranjuez, 10 La Candelaria, y 80 Corregimiento de San Antonio de Prado.
-	Control de comerciantes nocturnos, el viernes 1 de octubre se visita la zona alta de la comuna en sus barrios Carpinelo y la Esperanza, llegando a un acuerdo con ellos para iniciar la formalización y legalización de sus actividades para lograr una sana convivencia en el territorio.
</t>
  </si>
  <si>
    <t xml:space="preserve">-	Se logra hacer presencia interinstitucional en puntos críticos de la comuna con operativos de control, venta consumo estupefacientes, desmote cambuches, recuperación espacio público.
-	También se viene realizando acciones de prevención del delito en instituciones educativas, con presencia interinstitucional y organismos de justicia, enfocado en venta y consumo estupefacientes, violencias NNAJ, violencias sexuales. Además, se abren espacios de interlocución, permitiendo generar articulaciones, con la institucionalidad, líderes de interés y comunidad en general.
-	Se apoya la socialización del proyecto de implementación de la red neutra para la conectividad en internet.
-	Se gestiona consejo de convivencia en el sector Sinaí, con participación interinstitucionales, quienes brindaron sensibilización en residuos sólidos, Sisbén, fortalecimiento empresarial y violencia intrafamiliar.
</t>
  </si>
  <si>
    <t>-	Se gestiona consejo de convivencia en el sector Sinaí, con participación interinstitucionales, quienes brindaron sensibilización en residuos sólidos, Sisbén, fortalecimiento empresarial y violencia intrafamiliar; con una participación de 39 personas.</t>
  </si>
  <si>
    <t xml:space="preserve">-	El 3 de octubre en el Barrio Las Granjas, se realizó el encuentro comunitario "ponte en los zapatos del otro" con el objetivo de mitigar los diferentes comportamientos contrarios a la convivencia. Se contó con el apoyo de la Policía de Vecindario. 
-	Se realizó actividad preventiva frente a la venta y consumo de estupefacientes en el sector de Campo Valdés.
</t>
  </si>
  <si>
    <t xml:space="preserve">-	El 3 de octubre en el Barrio Las Granjas, se realizó el encuentro comunitario "ponte en los zapatos del otro" con el objetivo de mitigar los diferentes comportamientos contrarios a la convivencia. Se contó con el apoyo de la Policía de Vecindario. Participaron de esta actividad 12 personas.
-	Se realizó actividad preventiva frente a la venta y consumo de estupefacientes en el sector de Campo Valdés, sensibilizando a 50 personas.
</t>
  </si>
  <si>
    <t xml:space="preserve">-	Se realizaron 5 jornadas de Promoción de Rutas de Atención y Mecanismos de Defensa de los DDHH y la Convivencia, durante la semana del 27 de septiembre al 3 de octubre de 2021, de 9:00 a.m. a 3:00 p.m., en mesas de atención ubicadas al lado de la puerta de acceso principal de la Casa de Justicia El Bosque.
-	Se avanza en  plan de supervisión del contrato 4600091659 de 2021 Presupuesto Participativo con la Empresa Metroparques para la ejecución de los recursos de PL y PP 2.021. Inversión $2.604.762.199, correspondiente a las comunas: 1-Popular, 04 Aranjuez, 10 La Candelaria, y 80 Corregimiento de San Antonio de Prado.
</t>
  </si>
  <si>
    <t xml:space="preserve">-	Se realizaron 5 jornadas de Promoción de Rutas de Atención y Mecanismos de Defensa de los DDHH y la Convivencia, durante la semana del 27 de septiembre al 3 de octubre de 2021, de 9:00 a.m. a 3:00 p.m., en mesas de atención ubicadas al lado de la puerta de acceso principal de la Casa de Justicia El Bosque, beneficiándose a 191 personas. </t>
  </si>
  <si>
    <t>-	El 1 octubre en el Bulevar de la 68, y barrio Gratamira, el equipo del programa Medellín Convive la Noche visitó establecimientos con actividad económica "venta y consumo de licor” que buscan ingresar al programa “Convive la Noche”, adicional a lo anterior, se realizó seguimiento a establecimientos ya pertenecientes al programa. En estas visitas se sensibilizaron a los comerciantes con la estrategia "Parche Seguro" la cual busca incentivar a los propietarios de los establecimientos a las buenas prácticas de autocuidado y legalidad en el marco de la reactivación económica y se verifica la documentación obligatoria de acuerdo a la Ley 1801 de 2016.</t>
  </si>
  <si>
    <t>-	El 1 octubre en el Bulevar de la 68, y barrio Gratamira, el equipo del programa Medellín Convive la Noche visitó establecimientos con actividad económica "venta y consumo de licor” que buscan ingresar al programa “Convive la Noche”, adicional a lo anterior, se realizó seguimiento a establecimientos ya pertenecientes al programa. En estas visitas se sensibilizaron a los comerciantes con la estrategia "Parche Seguro" la cual busca incentivar a los propietarios de los establecimientos a las buenas prácticas de autocuidado y legalidad en el marco de la reactivación económica y se verifica la documentación obligatoria de acuerdo a la Ley 1801 de 2016. Se visitaron 11 establecimientos de comercio.</t>
  </si>
  <si>
    <t>-	Se realiza operativo de control a venteros en el sector de San Germán, logrando acuerdos con los mismos.</t>
  </si>
  <si>
    <t xml:space="preserve">-	El 1 de octubre en los barrios Manzanares, Caicedo, Los Mangos y Villa Lilian, el programa “Convive la Noche” en articulación con el Promotor Local de Gobierno realiza visitas de seguimiento a los establecimientos de comercio con venta y consumo de licor pertenecientes a la asociación de comerciantes ASO8. Se sensibiliza sobre los requisitos de funcionamiento, los límites máximos permitidos de ruido y se invita a los comerciantes que se encuentran en zonas aptas a vincularse a dicho programa para adquirir el incentivo de extensión de horario. Paralelamente se continúa implementando la estrategia “Parche Seguro” para incentivando el cumplimiento de los protocolos de Bioseguridad. </t>
  </si>
  <si>
    <t>-	El 1 de octubre en los barrios Manzanares, Caicedo, Los Mangos y Villa Lilian, el programa “Convive la Noche” en articulación con el Promotor Local de Gobierno realiza visitas de seguimiento a los establecimientos de comercio con venta y consumo de licor pertenecientes a la asociación de comerciantes ASO8. Se sensibiliza sobre los requisitos de funcionamiento, los límites máximos permitidos de ruido y se invita a los comerciantes que se encuentran en zonas aptas a vincularse a dicho programa para adquirir el incentivo de extensión de horario. Paralelamente se continúa implementando la estrategia “Parche Seguro” para incentivando el cumplimiento de los protocolos de Bioseguridad. Se sensibilizaron 6 establecimientos de comercio.</t>
  </si>
  <si>
    <t xml:space="preserve">-	Luego de reunión con líderes y comunidad del barrio Los Cerros, se realizó actividad preventiva de seguridad donde se entregaron casa a casa tarjetas informativas de las líneas de cuadrantes, esto se hizo en articulación con PRECI y gestora de seguridad Comuna 9.
-	Se realiza reunión con líderes de Loreto en la emisora la Novena Estación para abordar dicha problemática de hurto a motocicletas y se programa reunión con líderes y comerciantes de El Salvador para el día viernes 8 de octubre del presente año.
-	El 1 octubre se realizó intervención gestionada por Coordinador de Gobierno y Gestora de Seguridad y ejecutada por parte de Espacio Público y Emvarias en el sector de la Calle 35 con Carrera 16, con el fin de ejecutar ornato, aseo y sensibilización en el sector de la 35, el cual está siendo usado para consumo de estupefacientes por parte de jóvenes del sector. El objetivo es recuperar el espacio para el disfrute y tránsito de la comunidad de Eterna Primavera.
-	El 6 de octubre se realiza actividad dirigida a los padres de familia de los alumnos del Hogar Infantil "Los Caunces", en derecho a una vida libre de violencias, dónde se busca prevenir el delito de violencia intrafamiliar, violencia a la mujer y violencia a NNAJ.
</t>
  </si>
  <si>
    <t xml:space="preserve">-	El 28 de septiembre en los barrios Boston y Bomboná, el equipo de zona 3, realizó la actividad de postulación del Vecino Ejemplar, donde se inscribió para esta postulación a 50 personas.
-	Se avanza en plan de supervisión del contrato 4600091659 de 2021 Presupuesto Participativo con la Empresa Metroparques para la ejecución de los recursos de PL y PP 2.021. Inversión $2.604.762.199, correspondiente a las comunas: 1-Popular, 04 Aranjuez, 10 La Candelaria, y 80 Corregimiento de San Antonio de Prado.
-	Control de perifoneo a venteros informales en el sector de Junín y la Playa, aplicando la ley 1801 de 2016.
-	Durante las intervenciones integrales con habitantes de calle desde el corredor del Rio (Alpina) hasta el puente del Mico (Minorista) se logró el desmonte de 40 cambuches y la recolección de 4.5 toneladas de basura.  
</t>
  </si>
  <si>
    <t xml:space="preserve">-	Operativo frente a la regulación y control del perifoneo para lograr mitigar la problemática del perifoneo en diversos sectores de la comuna, en donde permanece e incentivan a otro tipo de problemáticas de seguridad y convivencia.
-	Capacitación con Gaula para lograr dar a conocer casos que se han estado presentando en el sector en relación con la extorsión. 
-	Intervención con Emvarias para lograr mitigar la problemática de residuos sólidos en los puntos críticos que han generado la permanencia de habitantes de calle y han afectado la percepción de seguridad en el sector de la 70.
-	Intervención control habitante de calle para lograr mitigar la problemática de asentamiento de cambuches y habitantes de calle en las zonas residenciales y puntos de concentración de dicha problemática que genera percepción de inseguridad.
-	Intervención operativa sector del Velódromo para lograr mitigar la problemática de inseguridad reportada por la comunidad por medio del control de los organismos de justicia.
-	Generación y activación de alertas tempranas en la comunidad para prevenir el hurto a personas en el sector por medio de la generación y activación de alarmas tempranas a la comunidad.
-	Implementación de la campaña auditiva de la jurisdicción "Seguro te aseguras" con el fin de brindar recomendaciones que permita prevenir situaciones de vulnerabilidad ante un hurto a vehículos.
</t>
  </si>
  <si>
    <t xml:space="preserve">-	La jornada de descongestión que se viene desarrollando en la Inspección 13 de Policía, al 30 de septiembre de 2021 se han evacuado 330 procesos de 2014-2019 logrando una descongestión del 48.3%.
-	El 29 de septiembre, de 11:00 a.m., a 12:30 p.m., se realizó en el Barrio 20 de Julio por parte del equipo coordinador, una jornada de prevención y promoción sobre el cuidado y derecho a la vida, por medio de entrega de tapabocas a 31 personas.
</t>
  </si>
  <si>
    <t>-	El viernes 01 de octubre se realizó la intervención especial desmonte de cambuches en articulación con espacio público, Emvarias y policía nacional, se desmontaron 6 cambuches logrando recuperar los 6 espacio públicos.</t>
  </si>
  <si>
    <t xml:space="preserve">-	La semana anterior avanzamos en prevención de hurto y prevención de consumo a través de la realización de acciones articuladas con Inclusión Social, Familia y DDHH y Espacio Público para atención de habitante en situación de calle. Esta actividad se realizó el miércoles y jueves. 
-	El jueves 30 de septiembre, se realizó un Plan Parques 
</t>
  </si>
  <si>
    <t>-	La semana anterior avanzamos en prevención de hurto y prevención de consumo a través de la realización de acciones articuladas con Inclusión Social, Familia y DDHH y Espacio Público para atención de habitante en situación de calle. Esta actividad se realizó el miércoles y jueves. En total se atendieron 26 habitantes en condición de calle de los cuales 8 aceptaron ser remitidos a Centro Día. 
-	El jueves 30 de septiembre, se realizó un Plan Parques en el cual se visitaron 6 parques de la comuna se requisaron 33 personas, 13 cambuches desmontados y 26 personas sensibilizadas.</t>
  </si>
  <si>
    <t xml:space="preserve">-	El 28 de septiembre en la vereda la aldea, el equipo del programa de “Convive la Noche” participó activamente en el Consejo de Convivencia, teniendo como tema principal: establecimientos comerciales de vida nocturna con fuentes sonoras altas (música) que perturban la tranquilidad y el descanso de los habitantes. 
-	Se articulan acciones con el Ejército Nacional
</t>
  </si>
  <si>
    <t>-	El 28 de septiembre en la vereda la aldea, el equipo del programa de “Convive la Noche” participó activamente en el Consejo de Convivencia, teniendo como tema principal: establecimientos comerciales de vida nocturna con fuentes sonoras altas (música) que perturban la tranquilidad y el descanso de los habitantes. En este consejo participaron 9 comerciantes.</t>
  </si>
  <si>
    <t xml:space="preserve">-	El 28 de septiembre en la urbanización Avellanas se realizó encuentro de acompañamiento psicosocial a grupo de mujeres líderes comunitarias. Este encuentro se dio en el marco del proceso que adelanta la Unidad de convivencia en el sector, bajo el propósito de mitigar las dificultades en convivencia que se presentan entre ellas. 
-	Comuna Nuevo Occidente: el 29 de septiembre en el barrio Las Flores de Ciudadela, se realizó la actividad de postulación del Vecino Ejemplar. 
-	El día 27 de septiembre se llevó a cabo el consejo de convivencia en la urbanización Puerta del sol, en el cual se abordaron temas que están generando discordia con los vecinos habitantes de la urbanización Altos de la Macarena, tales como el uso de un parqueadero y el mal manejo de las basuras. 
-	El día 29 se llevó a cabo un recorrido por los puntos críticos de los alrededores de las instituciones educativas Santa Margarita y Lucitania, con la finalidad de tomar medidas frente a los intentos de violaciones sexuales que se han presentado en dichos lugares. 
-	El 1 de octubre se hizo acompañamiento en la audiencia pública citada por la JAL a los funcionarios de EPM, Emvarias y Subsecretaria de servicios públicos de la Alcaldía de Medellín. Allí se escucharon algunas quejas de inseguridad denunciadas por la comunidad. 
</t>
  </si>
  <si>
    <t>-	El 28 de septiembre en la urbanización Avellanas se realizó encuentro de acompañamiento psicosocial a grupo de mujeres líderes comunitarias. Este encuentro se dio en el marco del proceso que adelanta la Unidad de convivencia en el sector, bajo el propósito de mitigar las dificultades en convivencia que se presentan entre ellas. Participaron 5 mujeres.
-	Comuna Nuevo Occidente: el 29 de septiembre en el barrio Las Flores de Ciudadela, se realizó la actividad de postulación del Vecino Ejemplar. Impactadas 15 personas.</t>
  </si>
  <si>
    <t>-	Articulación con el Ejército Nacional con su componente operativo y social en sectores priorizados de Altavista.</t>
  </si>
  <si>
    <t xml:space="preserve">-	El 1 de octubre en la vereda La Verde, se realizó socialización del Código Nacional de Seguridad y Convivencia en el marco de la feria de servicio específicamente haciendo un llamado al cumplimiento de la norma y a la corresponsabilidad para la construcción de una sana convivencia donde participó Medellín me Cuida, las Secretarías de Salud, Inclusión Social, Familia y DDHH, Mujeres, Juventud, Centros de Escucha, Gerencia de Diversidad, , Biblioteca José Horacio Betancur, CEDEZO, OPEC, y Gerencia de Corregimientos. Fueron impactadas 30 personas.
-	Se avanza en  plan de supervisión del contrato 4600091659 de 2021 Presupuesto Participativo con la Empresa Metroparques para la ejecución de los recursos de PL y PP 2.021. Inversión $2.604.762.199, correspondiente a las comunas: 1-Popular, 04 Aranjuez, 10 La Candelaria, y 80 Corregimiento de San Antonio de Prado.
</t>
  </si>
  <si>
    <t xml:space="preserve">-	El 29 de septiembre en respuesta al comportamiento contrario a la convivencia, de construcciones ilegales, que se expuso en el Consejo de Convivencia Ciudadana, realizado con habitantes del sector Altos de la Mora de la vereda Piedras Blancas, se realiza articulación interinstitucional  para atender requerimientos, instalando un aviso de prohibición de venta o compra de lotes, en el cual participaron la Gerencia de Corregimientos, la Policía Nacional, el Ejército, la Corregidora, los Comandantes de estación de Villa Hermosa y Santa Elena, Subsecretaría de DDHH, Secretaría de Gestión y Control Territorial. 
-	El 1 de octubre, en articulación con Policía de infancia y adolescencia y la Policía de prevención ciudadana, se realizó actividad pedagógica sobre el código de seguridad y convivencia ciudadana Ley 1801 de 2016, con la estrategia de “concéntrese” a niños de 4 y 5 de primaria de la Institución Educativa Media Luna de la vereda el Plan. 
</t>
  </si>
  <si>
    <t xml:space="preserve">-	El 29 de septiembre en respuesta al comportamiento contrario a la convivencia, de construcciones ilegales, que se expuso en el Consejo de Convivencia Ciudadana, realizado con habitantes del sector Altos de la Mora de la vereda Piedras Blancas, se realiza articulación interinstitucional  para atender requerimientos, instalando un aviso de prohibición de venta o compra de lotes, en el cual participaron la Gerencia de Corregimientos, la Policía Nacional, el Ejército, la Corregidora, los Comandantes de estación de Villa Hermosa y Santa Elena, Subsecretaría de DDHH, Secretaría de Gestión y Control Territorial. Se impactaron 40 personas. 
-	El 1 de octubre, en articulación con Policía de infancia y adolescencia y la Policía de prevención ciudadana, se realizó actividad pedagógica sobre el código de seguridad y convivencia ciudadana Ley 1801 de 2016, con la estrategia de “concéntrese” a niños de 4 y 5 de primaria de la Institución Educativa Media Luna de la vereda el Plan. Se Impactan 90 Niños.
</t>
  </si>
  <si>
    <t>203945</t>
  </si>
  <si>
    <t xml:space="preserve">Participación en Reunión de la mesa interinstitucional C70, la cual será realizada en la casa de gobierno de altavista. En esta reunión se tratarán las actividades a desarrollar para el mes de octubre y el seguimiento de las actividades realizada en el presente mes de septiembre, además de presentar y articular los nuevos funcionarios y contratistas determinados para el trabajo en la comuna. </t>
  </si>
  <si>
    <t>204005</t>
  </si>
  <si>
    <t xml:space="preserve">Educación T&amp;T
Instituciones educativas que participaron en el taller del MEN "Jóvenes en Alta Voz" el miércoles 29 de septiembre. 
Comuna 2:  3
Comuna 3:  2
Comuna 4: 12 
Comuna 5: 8
Comuna 6: 4
Comuna 7: 6
Comuna 8: 3
Comuna 9: 5
Comuna 10: 1
Comuna 14: 5
Comuna 60:1
Total 50 estudiantes beneficiados.
</t>
  </si>
  <si>
    <t>Entorno Escolar Protector
Durante esta semana desde el Programa Entorno Escolar Protector, se realizaron las siguientes acciones:
Llamadas para verificación del estado socioemocional de las familias y los estudiantes: 237
Visitas para identificación de algún riesgo psicosocial: 31
Adicionalmente, se realizaron las siguientes atenciones, llamadas y visitas domiciliarias a las comunidades educativas (estudiantes, docentes, directivos docentes y familias), en las 16 comunas y los 5 corregimientos de la ciudad de Medellín.
Comuna 1: 83
comuna 2: 47
Comuna 3: 81
Comuna 4: 57
Comuna 5: 74
Comuna 6: 36
Comuna 7: 111
Comuna 8: 70
Comuna 9: 54
Comuna 10: 15
Comuna 11: 43
Comuna 12: 24
Comuna 13: 56
Comuna 14: 5
Comuna 15: 16
Comuna 16: 69
Comuna 50: 2
Comuna 60: 63
Comuna 70: 15
Comuna 80: 31
Comuna 90: 2
Asimismo, se realizaron 1.650 acciones encaminadas a los procesos transversales del programa: asesoría y asistencia técnica, formación, movilización, gestión y articulación, dirigido a la comunidad educativas y  atenciones psicosociales y los logros territoriales más significativos han sido: 
La línea familia logró crear red de fortalecimiento con 179  Consejos de Padres de  las nstituciones Educativas oficiales de la ciudad de Medellin, dicha red tiene como objetivo tener mayor comunicación y vinculación con las familias, compartir información, invitaciones especiales y recibir recomendaciones de las Familias.
La línea familia ha logrado que el indicador del plan de desarrollo "Instituciones Educativas Oficiales con proyectos de familia diseñados o actualizados" se encuentre en un 62% que corresponde a 141 Instituciones Educativas con Proyectos de familia.
Ambientes y Entornos para el Aprendizaje
Se logra el apoyo a procesos de asesoría  y asistencia técnica en  8  aulas  de Modelos Flexibles pertenecientes a las siguientes instituciones educativas : 
Francisco Miranda: Comuna 3  
Santa  Cruz: comuna  2:</t>
  </si>
  <si>
    <t>Acceso y Cobertura                                                             Participación en feria de servicios programadas por la Personería, Secretaría de Gobierno y Entorno Escolar Protector en las comunas 3, 7, 8 y 9, teniendo como logro mas significativo, informar a la comunidad sobre la oferta educativa y las rutas de acceso al sistema educativo.</t>
  </si>
  <si>
    <t>204013</t>
  </si>
  <si>
    <t>204033</t>
  </si>
  <si>
    <t>0</t>
  </si>
  <si>
    <t>204084</t>
  </si>
  <si>
    <t>Se sigue avanzando en las obras del puente que va comunicar la vereda el Naranjal y Boquerón del corregimiento de San Cristóbal.</t>
  </si>
  <si>
    <t xml:space="preserve">Se acercó la oferta institucional de educación superior de las Instituciones Educativas de Educación superior (ITM - Colegio Mayor - Pascual Bravo) en articulación con sapiencia, para los estudiante de la IE Hector Rogelio Ramirez del corregimiento. </t>
  </si>
  <si>
    <t xml:space="preserve">80 estudiantes </t>
  </si>
  <si>
    <t>Inauguración del acueducto comunitario en la vereda el llano del corregimiento de Santa Elena.</t>
  </si>
  <si>
    <t>204110</t>
  </si>
  <si>
    <t xml:space="preserve">Conexión a 500 familias. </t>
  </si>
  <si>
    <t>Más de 2000 personas</t>
  </si>
  <si>
    <t>204113</t>
  </si>
  <si>
    <t>204126</t>
  </si>
  <si>
    <t>204139</t>
  </si>
  <si>
    <t>Ruta de Medellín Cuida lo Público – Centro de Desarrollo Cultural Moravia, Parque Biblioteca San Javier</t>
  </si>
  <si>
    <t>Ruta de Medellín Cuida lo Público: Parque Cristo Rey</t>
  </si>
  <si>
    <t>Ruta de Medellín Cuida lo Público: Parque San Antonio,</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</si>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</sst>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rgb="FF000000"/>
      <name val="Calibri"/>
    </font>
    <font>
      <b/>
      <sz val="11"/>
      <color rgb="FF000000"/>
      <name val="Calibri"/>
      <family val="2"/>
    </font>
    <font>
      <sz val="11"/>
      <name val="Calibri"/>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18">
    <xf numFmtId="0" fontId="0" fillId="0" borderId="0" xfId="0" applyFont="1" applyAlignment="1"/>
    <xf numFmtId="0" fontId="0" fillId="0" borderId="1" xfId="0" applyFont="1" applyBorder="1" applyAlignment="1"/>
    <xf numFmtId="0" fontId="0" fillId="0" borderId="1" xfId="0" applyFont="1" applyBorder="1" applyAlignment="1">
      <alignment wrapText="1"/>
    </xf>
    <xf numFmtId="0" fontId="0" fillId="2"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14" fontId="0" fillId="0" borderId="0" xfId="0" applyNumberFormat="1" applyFont="1" applyAlignment="1"/>
    <xf numFmtId="49" fontId="1" fillId="2" borderId="1" xfId="0" applyNumberFormat="1" applyFont="1" applyFill="1" applyBorder="1" applyAlignment="1">
      <alignment horizontal="center" vertical="center"/>
    </xf>
    <xf numFmtId="49" fontId="0" fillId="0" borderId="0" xfId="0" applyNumberFormat="1" applyFont="1" applyAlignment="1">
      <alignment horizontal="center"/>
    </xf>
    <xf numFmtId="0" fontId="0" fillId="0" borderId="0" xfId="0"/>
    <xf numFmtId="0" fontId="0" fillId="0" borderId="1" xfId="0" applyBorder="1"/>
    <xf numFmtId="0" fontId="2" fillId="0" borderId="0" xfId="1"/>
    <xf numFmtId="0" fontId="0" fillId="3" borderId="1" xfId="0" applyFill="1" applyBorder="1"/>
    <xf numFmtId="14" fontId="0" fillId="0" borderId="1" xfId="0" applyNumberFormat="1" applyFont="1" applyBorder="1" applyAlignment="1"/>
    <xf numFmtId="14" fontId="0" fillId="2" borderId="1" xfId="0" applyNumberFormat="1" applyFont="1" applyFill="1" applyBorder="1" applyAlignment="1">
      <alignment horizontal="center" vertical="center" wrapText="1"/>
    </xf>
    <xf numFmtId="14" fontId="0" fillId="0" borderId="1" xfId="0" applyNumberFormat="1" applyBorder="1"/>
  </cellXfs>
  <cellStyles count="2">
    <cellStyle name="Normal" xfId="0" builtinId="0"/>
    <cellStyle name="Normal 2" xfId="1" xr:uid="{B80E9964-8386-3745-82E4-115F9EAC8C0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21</xdr:row>
      <xdr:rowOff>0</xdr:rowOff>
    </xdr:from>
    <xdr:to>
      <xdr:col>5</xdr:col>
      <xdr:colOff>50800</xdr:colOff>
      <xdr:row>24</xdr:row>
      <xdr:rowOff>38100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25400</xdr:colOff>
      <xdr:row>31</xdr:row>
      <xdr:rowOff>25400</xdr:rowOff>
    </xdr:from>
    <xdr:to>
      <xdr:col>5</xdr:col>
      <xdr:colOff>50800</xdr:colOff>
      <xdr:row>34</xdr:row>
      <xdr:rowOff>63500</xdr:rowOff>
    </xdr:to>
    <xdr:pic>
      <xdr:nvPicPr>
        <xdr:cNvPr id="2" name="CommandButton1">
          <a:extLst>
            <a:ext uri="{FF2B5EF4-FFF2-40B4-BE49-F238E27FC236}">
              <a16:creationId xmlns:a16="http://schemas.microsoft.com/office/drawing/2014/main" id="{62ACD9D4-AD19-1440-8E9B-A8463A403A1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58300" y="7289800"/>
          <a:ext cx="2959100" cy="609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CG88"/>
  <sheetViews>
    <sheetView workbookViewId="0">
      <pane ySplit="1" topLeftCell="A2" activePane="bottomLeft" state="frozen"/>
      <selection pane="bottomLeft" activeCell="C10" sqref="C10"/>
    </sheetView>
  </sheetViews>
  <sheetFormatPr baseColWidth="10" defaultColWidth="14.5" defaultRowHeight="15" customHeight="1" x14ac:dyDescent="0.2"/>
  <cols>
    <col min="1" max="1" width="10.6640625" style="1" customWidth="1"/>
    <col min="2" max="2" width="37" style="15" customWidth="1"/>
    <col min="3" max="3" width="60" style="1" bestFit="1" customWidth="1"/>
    <col min="4" max="4" width="34.83203125" style="1" bestFit="1" customWidth="1"/>
    <col min="5" max="5" width="38.5" style="1" bestFit="1" customWidth="1"/>
    <col min="6" max="20" width="10.6640625" style="1" customWidth="1"/>
    <col min="21" max="21" width="17" style="1" customWidth="1"/>
    <col min="22" max="45" width="10.6640625" style="1" customWidth="1"/>
    <col min="46" max="46" width="19.5" style="1" customWidth="1"/>
    <col min="47" max="68" width="10.6640625" style="1" customWidth="1"/>
    <col min="69" max="16384" width="14.5" style="1"/>
  </cols>
  <sheetData>
    <row r="1" spans="1:70" s="2" customFormat="1" ht="32" x14ac:dyDescent="0.2">
      <c r="A1" s="3" t="s">
        <v>0</v>
      </c>
      <c r="B1" s="16" t="s">
        <v>1</v>
      </c>
      <c r="C1" s="3" t="s">
        <v>2</v>
      </c>
      <c r="D1" s="3" t="s">
        <v>3</v>
      </c>
      <c r="E1" s="3" t="s">
        <v>4</v>
      </c>
      <c r="F1" s="3" t="s">
        <v>5</v>
      </c>
      <c r="G1" s="3" t="s">
        <v>6</v>
      </c>
      <c r="H1" s="3"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4"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60</v>
      </c>
      <c r="BJ1" s="4" t="s">
        <v>61</v>
      </c>
      <c r="BK1" s="4" t="s">
        <v>62</v>
      </c>
      <c r="BL1" s="4" t="s">
        <v>63</v>
      </c>
      <c r="BM1" s="4" t="s">
        <v>64</v>
      </c>
      <c r="BN1" s="4" t="s">
        <v>65</v>
      </c>
      <c r="BO1" s="4" t="s">
        <v>66</v>
      </c>
      <c r="BP1" s="4" t="s">
        <v>67</v>
      </c>
    </row>
    <row r="2" spans="1:70" s="12" customFormat="1" x14ac:dyDescent="0.2">
      <c r="A2" s="12" t="s">
        <v>131</v>
      </c>
      <c r="B2" s="17">
        <v>44477</v>
      </c>
      <c r="C2" s="13" t="s">
        <v>68</v>
      </c>
      <c r="D2" s="12" t="s">
        <v>132</v>
      </c>
      <c r="E2" s="12" t="s">
        <v>132</v>
      </c>
      <c r="F2" s="13" t="s">
        <v>69</v>
      </c>
      <c r="G2" s="13" t="s">
        <v>133</v>
      </c>
      <c r="H2" s="13" t="s">
        <v>134</v>
      </c>
      <c r="I2" s="13" t="s">
        <v>70</v>
      </c>
      <c r="J2" s="13" t="s">
        <v>135</v>
      </c>
      <c r="K2" s="13" t="s">
        <v>136</v>
      </c>
      <c r="L2" s="13" t="s">
        <v>71</v>
      </c>
      <c r="M2" s="13" t="s">
        <v>137</v>
      </c>
      <c r="N2" s="13" t="s">
        <v>138</v>
      </c>
      <c r="O2" s="13" t="s">
        <v>81</v>
      </c>
      <c r="P2" s="13" t="s">
        <v>139</v>
      </c>
      <c r="Q2" s="13" t="s">
        <v>140</v>
      </c>
      <c r="R2" s="13" t="s">
        <v>128</v>
      </c>
      <c r="S2" s="13" t="s">
        <v>141</v>
      </c>
      <c r="T2" s="13" t="s">
        <v>142</v>
      </c>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row>
    <row r="3" spans="1:70" s="14" customFormat="1" x14ac:dyDescent="0.2">
      <c r="A3" s="14" t="s">
        <v>143</v>
      </c>
      <c r="B3" s="17">
        <v>44477</v>
      </c>
      <c r="C3" s="13" t="s">
        <v>116</v>
      </c>
      <c r="D3" s="12" t="s">
        <v>132</v>
      </c>
      <c r="E3" s="12" t="s">
        <v>132</v>
      </c>
      <c r="F3" s="13" t="s">
        <v>82</v>
      </c>
      <c r="G3" s="13" t="s">
        <v>144</v>
      </c>
      <c r="H3" s="13" t="s">
        <v>75</v>
      </c>
      <c r="I3" s="13" t="s">
        <v>69</v>
      </c>
      <c r="J3" s="13" t="s">
        <v>145</v>
      </c>
      <c r="K3" s="13" t="s">
        <v>75</v>
      </c>
      <c r="L3" s="13" t="s">
        <v>96</v>
      </c>
      <c r="M3" s="13" t="s">
        <v>146</v>
      </c>
      <c r="N3" s="13" t="s">
        <v>75</v>
      </c>
      <c r="O3" s="13" t="s">
        <v>74</v>
      </c>
      <c r="P3" s="13" t="s">
        <v>147</v>
      </c>
      <c r="Q3" s="13" t="s">
        <v>75</v>
      </c>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row>
    <row r="4" spans="1:70" s="12" customFormat="1" x14ac:dyDescent="0.2">
      <c r="A4" s="12" t="s">
        <v>148</v>
      </c>
      <c r="B4" s="17">
        <v>44477</v>
      </c>
      <c r="C4" s="13" t="s">
        <v>85</v>
      </c>
      <c r="D4" s="12" t="s">
        <v>132</v>
      </c>
      <c r="E4" s="12" t="s">
        <v>132</v>
      </c>
      <c r="F4" s="13" t="s">
        <v>81</v>
      </c>
      <c r="G4" s="13" t="s">
        <v>149</v>
      </c>
      <c r="H4" s="13" t="s">
        <v>150</v>
      </c>
      <c r="I4" s="13" t="s">
        <v>96</v>
      </c>
      <c r="J4" s="13" t="s">
        <v>151</v>
      </c>
      <c r="K4" s="13" t="s">
        <v>152</v>
      </c>
      <c r="L4" s="13" t="s">
        <v>84</v>
      </c>
      <c r="M4" s="13" t="s">
        <v>153</v>
      </c>
      <c r="N4" s="13" t="s">
        <v>154</v>
      </c>
      <c r="O4" s="13" t="s">
        <v>77</v>
      </c>
      <c r="P4" s="13" t="s">
        <v>155</v>
      </c>
      <c r="Q4" s="13" t="s">
        <v>156</v>
      </c>
      <c r="R4" s="13" t="s">
        <v>82</v>
      </c>
      <c r="S4" s="13" t="s">
        <v>157</v>
      </c>
      <c r="T4" s="13" t="s">
        <v>158</v>
      </c>
      <c r="U4" s="13" t="s">
        <v>86</v>
      </c>
      <c r="V4" s="13" t="s">
        <v>159</v>
      </c>
      <c r="W4" s="13" t="s">
        <v>160</v>
      </c>
      <c r="X4" s="13" t="s">
        <v>71</v>
      </c>
      <c r="Y4" s="13" t="s">
        <v>161</v>
      </c>
      <c r="Z4" s="13" t="s">
        <v>162</v>
      </c>
      <c r="AA4" s="13" t="s">
        <v>77</v>
      </c>
      <c r="AB4" s="13" t="s">
        <v>163</v>
      </c>
      <c r="AC4" s="13" t="s">
        <v>164</v>
      </c>
      <c r="AD4" s="13" t="s">
        <v>69</v>
      </c>
      <c r="AE4" s="13" t="s">
        <v>165</v>
      </c>
      <c r="AF4" s="13"/>
      <c r="AG4" s="13" t="s">
        <v>82</v>
      </c>
      <c r="AH4" s="13" t="s">
        <v>166</v>
      </c>
      <c r="AI4" s="13"/>
      <c r="AJ4" s="13" t="s">
        <v>91</v>
      </c>
      <c r="AK4" s="13" t="s">
        <v>167</v>
      </c>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row>
    <row r="5" spans="1:70" s="12" customFormat="1" x14ac:dyDescent="0.2">
      <c r="A5" s="12" t="s">
        <v>168</v>
      </c>
      <c r="B5" s="17">
        <v>44477</v>
      </c>
      <c r="C5" s="13" t="s">
        <v>100</v>
      </c>
      <c r="D5" s="12" t="s">
        <v>132</v>
      </c>
      <c r="E5" s="12" t="s">
        <v>132</v>
      </c>
      <c r="F5" s="13" t="s">
        <v>69</v>
      </c>
      <c r="G5" s="13" t="s">
        <v>169</v>
      </c>
      <c r="H5" s="13" t="s">
        <v>170</v>
      </c>
      <c r="I5" s="13" t="s">
        <v>91</v>
      </c>
      <c r="J5" s="13" t="s">
        <v>171</v>
      </c>
      <c r="K5" s="13" t="s">
        <v>172</v>
      </c>
      <c r="L5" s="13" t="s">
        <v>88</v>
      </c>
      <c r="M5" s="13" t="s">
        <v>173</v>
      </c>
      <c r="N5" s="13" t="s">
        <v>174</v>
      </c>
      <c r="O5" s="13" t="s">
        <v>88</v>
      </c>
      <c r="P5" s="13" t="s">
        <v>175</v>
      </c>
      <c r="Q5" s="13" t="s">
        <v>176</v>
      </c>
      <c r="R5" s="13" t="s">
        <v>69</v>
      </c>
      <c r="S5" s="13" t="s">
        <v>177</v>
      </c>
      <c r="T5" s="13" t="s">
        <v>129</v>
      </c>
      <c r="U5" s="13" t="s">
        <v>89</v>
      </c>
      <c r="V5" s="13" t="s">
        <v>178</v>
      </c>
      <c r="W5" s="13" t="s">
        <v>179</v>
      </c>
      <c r="X5" s="13" t="s">
        <v>90</v>
      </c>
      <c r="Y5" s="13" t="s">
        <v>180</v>
      </c>
      <c r="Z5" s="13" t="s">
        <v>181</v>
      </c>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row>
    <row r="6" spans="1:70" s="12" customFormat="1" x14ac:dyDescent="0.2">
      <c r="A6" s="12" t="s">
        <v>182</v>
      </c>
      <c r="B6" s="17">
        <v>44477</v>
      </c>
      <c r="C6" s="13" t="s">
        <v>76</v>
      </c>
      <c r="D6" s="12" t="s">
        <v>132</v>
      </c>
      <c r="E6" s="12" t="s">
        <v>132</v>
      </c>
      <c r="F6" s="13" t="s">
        <v>79</v>
      </c>
      <c r="G6" s="13" t="s">
        <v>183</v>
      </c>
      <c r="H6" s="13" t="s">
        <v>112</v>
      </c>
      <c r="I6" s="13"/>
      <c r="J6" s="13"/>
      <c r="K6" s="13" t="s">
        <v>112</v>
      </c>
      <c r="L6" s="13"/>
      <c r="M6" s="13" t="s">
        <v>112</v>
      </c>
      <c r="N6" s="13" t="s">
        <v>112</v>
      </c>
      <c r="O6" s="13"/>
      <c r="P6" s="13" t="s">
        <v>112</v>
      </c>
      <c r="Q6" s="13" t="s">
        <v>112</v>
      </c>
      <c r="R6" s="13"/>
      <c r="S6" s="13" t="s">
        <v>112</v>
      </c>
      <c r="T6" s="13" t="s">
        <v>112</v>
      </c>
      <c r="U6" s="13"/>
      <c r="V6" s="13" t="s">
        <v>112</v>
      </c>
      <c r="W6" s="13" t="s">
        <v>112</v>
      </c>
      <c r="X6" s="13"/>
      <c r="Y6" s="13" t="s">
        <v>112</v>
      </c>
      <c r="Z6" s="13" t="s">
        <v>112</v>
      </c>
      <c r="AA6" s="13"/>
      <c r="AB6" s="13" t="s">
        <v>112</v>
      </c>
      <c r="AC6" s="13" t="s">
        <v>112</v>
      </c>
      <c r="AD6" s="13"/>
      <c r="AE6" s="13" t="s">
        <v>112</v>
      </c>
      <c r="AF6" s="13" t="s">
        <v>112</v>
      </c>
      <c r="AG6" s="13"/>
      <c r="AH6" s="13" t="s">
        <v>112</v>
      </c>
      <c r="AI6" s="13" t="s">
        <v>112</v>
      </c>
      <c r="AJ6" s="13"/>
      <c r="AK6" s="13" t="s">
        <v>112</v>
      </c>
      <c r="AL6" s="13" t="s">
        <v>112</v>
      </c>
      <c r="AM6" s="13"/>
      <c r="AN6" s="13" t="s">
        <v>112</v>
      </c>
      <c r="AO6" s="13" t="s">
        <v>112</v>
      </c>
      <c r="AP6" s="13"/>
      <c r="AQ6" s="13" t="s">
        <v>112</v>
      </c>
      <c r="AR6" s="13" t="s">
        <v>112</v>
      </c>
      <c r="AS6" s="13"/>
      <c r="AT6" s="13" t="s">
        <v>112</v>
      </c>
      <c r="AU6" s="13" t="s">
        <v>112</v>
      </c>
      <c r="AV6" s="13"/>
      <c r="AW6" s="13" t="s">
        <v>112</v>
      </c>
      <c r="AX6" s="13" t="s">
        <v>112</v>
      </c>
      <c r="AY6" s="13"/>
      <c r="AZ6" s="13" t="s">
        <v>112</v>
      </c>
      <c r="BA6" s="13" t="s">
        <v>112</v>
      </c>
      <c r="BB6" s="13"/>
      <c r="BC6" s="13" t="s">
        <v>112</v>
      </c>
      <c r="BD6" s="13" t="s">
        <v>112</v>
      </c>
      <c r="BE6" s="13"/>
      <c r="BF6" s="13" t="s">
        <v>112</v>
      </c>
      <c r="BG6" s="13" t="s">
        <v>112</v>
      </c>
      <c r="BH6" s="13"/>
      <c r="BI6" s="13" t="s">
        <v>112</v>
      </c>
      <c r="BJ6" s="13" t="s">
        <v>112</v>
      </c>
      <c r="BK6" s="13"/>
      <c r="BL6" s="13" t="s">
        <v>112</v>
      </c>
      <c r="BM6" s="13" t="s">
        <v>112</v>
      </c>
      <c r="BN6" s="13"/>
      <c r="BO6" s="13" t="s">
        <v>112</v>
      </c>
      <c r="BP6" s="13" t="s">
        <v>112</v>
      </c>
    </row>
    <row r="7" spans="1:70" s="12" customFormat="1" x14ac:dyDescent="0.2">
      <c r="A7" s="12" t="s">
        <v>184</v>
      </c>
      <c r="B7" s="17">
        <v>44477</v>
      </c>
      <c r="C7" s="13" t="s">
        <v>111</v>
      </c>
      <c r="D7" s="12" t="s">
        <v>132</v>
      </c>
      <c r="E7" s="12" t="s">
        <v>132</v>
      </c>
      <c r="F7" s="13" t="s">
        <v>69</v>
      </c>
      <c r="G7" s="13" t="s">
        <v>185</v>
      </c>
      <c r="H7" s="13" t="s">
        <v>112</v>
      </c>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row>
    <row r="8" spans="1:70" s="12" customFormat="1" x14ac:dyDescent="0.2">
      <c r="A8" s="12" t="s">
        <v>186</v>
      </c>
      <c r="B8" s="17">
        <v>44477</v>
      </c>
      <c r="C8" s="13" t="s">
        <v>93</v>
      </c>
      <c r="D8" s="12" t="s">
        <v>132</v>
      </c>
      <c r="E8" s="12" t="s">
        <v>132</v>
      </c>
      <c r="F8" s="13" t="s">
        <v>74</v>
      </c>
      <c r="G8" s="13" t="s">
        <v>94</v>
      </c>
      <c r="H8" s="13" t="s">
        <v>94</v>
      </c>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row>
    <row r="9" spans="1:70" s="12" customFormat="1" x14ac:dyDescent="0.2">
      <c r="A9" s="12" t="s">
        <v>187</v>
      </c>
      <c r="B9" s="17">
        <v>44477</v>
      </c>
      <c r="C9" s="13" t="s">
        <v>87</v>
      </c>
      <c r="D9" s="12" t="s">
        <v>132</v>
      </c>
      <c r="E9" s="12" t="s">
        <v>132</v>
      </c>
      <c r="F9" s="13" t="s">
        <v>74</v>
      </c>
      <c r="G9" s="13" t="s">
        <v>188</v>
      </c>
      <c r="H9" s="13" t="s">
        <v>189</v>
      </c>
      <c r="I9" s="13" t="s">
        <v>96</v>
      </c>
      <c r="J9" s="13" t="s">
        <v>190</v>
      </c>
      <c r="K9" s="13" t="s">
        <v>191</v>
      </c>
      <c r="L9" s="13" t="s">
        <v>88</v>
      </c>
      <c r="M9" s="13" t="s">
        <v>192</v>
      </c>
      <c r="N9" s="13" t="s">
        <v>191</v>
      </c>
      <c r="O9" s="13" t="s">
        <v>80</v>
      </c>
      <c r="P9" s="13" t="s">
        <v>193</v>
      </c>
      <c r="Q9" s="13"/>
      <c r="R9" s="13" t="s">
        <v>84</v>
      </c>
      <c r="S9" s="13" t="s">
        <v>194</v>
      </c>
      <c r="T9" s="13"/>
      <c r="U9" s="13" t="s">
        <v>70</v>
      </c>
      <c r="V9" s="13" t="s">
        <v>195</v>
      </c>
      <c r="W9" s="13"/>
      <c r="X9" s="13" t="s">
        <v>77</v>
      </c>
      <c r="Y9" s="13" t="s">
        <v>196</v>
      </c>
      <c r="Z9" s="13"/>
      <c r="AA9" s="13" t="s">
        <v>82</v>
      </c>
      <c r="AB9" s="13" t="s">
        <v>197</v>
      </c>
      <c r="AC9" s="13"/>
      <c r="AD9" s="13" t="s">
        <v>128</v>
      </c>
      <c r="AE9" s="13" t="s">
        <v>198</v>
      </c>
      <c r="AF9" s="13"/>
      <c r="AG9" s="13" t="s">
        <v>69</v>
      </c>
      <c r="AH9" s="13" t="s">
        <v>199</v>
      </c>
      <c r="AI9" s="13"/>
      <c r="AJ9" s="13" t="s">
        <v>81</v>
      </c>
      <c r="AK9" s="13" t="s">
        <v>200</v>
      </c>
      <c r="AL9" s="13"/>
      <c r="AM9" s="13" t="s">
        <v>97</v>
      </c>
      <c r="AN9" s="13" t="s">
        <v>201</v>
      </c>
      <c r="AO9" s="13"/>
      <c r="AP9" s="13" t="s">
        <v>79</v>
      </c>
      <c r="AQ9" s="13" t="s">
        <v>202</v>
      </c>
      <c r="AR9" s="13"/>
      <c r="AS9" s="13" t="s">
        <v>72</v>
      </c>
      <c r="AT9" s="13" t="s">
        <v>203</v>
      </c>
      <c r="AU9" s="13"/>
      <c r="AV9" s="13" t="s">
        <v>98</v>
      </c>
      <c r="AW9" s="13" t="s">
        <v>204</v>
      </c>
      <c r="AX9" s="13"/>
      <c r="AY9" s="13" t="s">
        <v>89</v>
      </c>
      <c r="AZ9" s="13" t="s">
        <v>205</v>
      </c>
      <c r="BA9" s="13"/>
      <c r="BB9" s="13" t="s">
        <v>91</v>
      </c>
      <c r="BC9" s="13" t="s">
        <v>206</v>
      </c>
      <c r="BD9" s="13"/>
      <c r="BE9" s="13" t="s">
        <v>86</v>
      </c>
      <c r="BF9" s="13" t="s">
        <v>207</v>
      </c>
      <c r="BG9" s="13"/>
      <c r="BH9" s="13" t="s">
        <v>90</v>
      </c>
      <c r="BI9" s="13" t="s">
        <v>208</v>
      </c>
      <c r="BJ9" s="13"/>
      <c r="BK9" s="13" t="s">
        <v>99</v>
      </c>
      <c r="BL9" s="13" t="s">
        <v>209</v>
      </c>
      <c r="BM9" s="13"/>
      <c r="BN9" s="13" t="s">
        <v>71</v>
      </c>
      <c r="BO9" s="13" t="s">
        <v>210</v>
      </c>
      <c r="BP9" s="13"/>
    </row>
    <row r="10" spans="1:70" s="12" customFormat="1" x14ac:dyDescent="0.2">
      <c r="A10" s="12" t="s">
        <v>211</v>
      </c>
      <c r="B10" s="17">
        <v>44477</v>
      </c>
      <c r="C10" s="13" t="s">
        <v>73</v>
      </c>
      <c r="D10" s="12" t="s">
        <v>132</v>
      </c>
      <c r="E10" s="12" t="s">
        <v>132</v>
      </c>
      <c r="F10" s="13" t="s">
        <v>74</v>
      </c>
      <c r="G10" s="13" t="s">
        <v>212</v>
      </c>
      <c r="H10" s="13" t="s">
        <v>75</v>
      </c>
      <c r="I10" s="13" t="s">
        <v>74</v>
      </c>
      <c r="J10" s="13" t="s">
        <v>213</v>
      </c>
      <c r="K10" s="13" t="s">
        <v>75</v>
      </c>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row>
    <row r="11" spans="1:70" s="12" customFormat="1" x14ac:dyDescent="0.2">
      <c r="A11" s="12" t="s">
        <v>214</v>
      </c>
      <c r="B11" s="17">
        <v>44477</v>
      </c>
      <c r="C11" s="13" t="s">
        <v>78</v>
      </c>
      <c r="D11" s="12" t="s">
        <v>132</v>
      </c>
      <c r="E11" s="12" t="s">
        <v>132</v>
      </c>
      <c r="F11" s="13" t="s">
        <v>88</v>
      </c>
      <c r="G11" s="13" t="s">
        <v>215</v>
      </c>
      <c r="H11" s="13" t="s">
        <v>83</v>
      </c>
      <c r="I11" s="13" t="s">
        <v>71</v>
      </c>
      <c r="J11" s="13" t="s">
        <v>216</v>
      </c>
      <c r="K11" s="13" t="s">
        <v>217</v>
      </c>
      <c r="L11" s="13" t="s">
        <v>89</v>
      </c>
      <c r="M11" s="13" t="s">
        <v>218</v>
      </c>
      <c r="N11" s="13" t="s">
        <v>219</v>
      </c>
      <c r="O11" s="13" t="s">
        <v>99</v>
      </c>
      <c r="P11" s="13" t="s">
        <v>220</v>
      </c>
      <c r="Q11" s="13" t="s">
        <v>83</v>
      </c>
      <c r="R11" s="13" t="s">
        <v>70</v>
      </c>
      <c r="S11" s="13" t="s">
        <v>221</v>
      </c>
      <c r="T11" s="13" t="s">
        <v>83</v>
      </c>
      <c r="U11" s="13" t="s">
        <v>69</v>
      </c>
      <c r="V11" s="13" t="s">
        <v>222</v>
      </c>
      <c r="W11" s="13" t="s">
        <v>83</v>
      </c>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row>
    <row r="12" spans="1:70" s="12" customFormat="1" x14ac:dyDescent="0.2">
      <c r="A12" s="12" t="s">
        <v>223</v>
      </c>
      <c r="B12" s="17">
        <v>44477</v>
      </c>
      <c r="C12" s="13" t="s">
        <v>95</v>
      </c>
      <c r="D12" s="12" t="s">
        <v>132</v>
      </c>
      <c r="E12" s="12" t="s">
        <v>132</v>
      </c>
      <c r="F12" s="13" t="s">
        <v>74</v>
      </c>
      <c r="G12" s="13" t="s">
        <v>224</v>
      </c>
      <c r="H12" s="13" t="s">
        <v>75</v>
      </c>
      <c r="I12" s="13" t="s">
        <v>96</v>
      </c>
      <c r="J12" s="13" t="s">
        <v>225</v>
      </c>
      <c r="K12" s="13" t="s">
        <v>226</v>
      </c>
      <c r="L12" s="13" t="s">
        <v>88</v>
      </c>
      <c r="M12" s="13" t="s">
        <v>227</v>
      </c>
      <c r="N12" s="13" t="s">
        <v>228</v>
      </c>
      <c r="O12" s="13" t="s">
        <v>80</v>
      </c>
      <c r="P12" s="13" t="s">
        <v>229</v>
      </c>
      <c r="Q12" s="13" t="s">
        <v>230</v>
      </c>
      <c r="R12" s="13" t="s">
        <v>84</v>
      </c>
      <c r="S12" s="13" t="s">
        <v>231</v>
      </c>
      <c r="T12" s="13" t="s">
        <v>232</v>
      </c>
      <c r="U12" s="13" t="s">
        <v>77</v>
      </c>
      <c r="V12" s="13" t="s">
        <v>233</v>
      </c>
      <c r="W12" s="13"/>
      <c r="X12" s="13" t="s">
        <v>82</v>
      </c>
      <c r="Y12" s="13" t="s">
        <v>234</v>
      </c>
      <c r="Z12" s="13" t="s">
        <v>235</v>
      </c>
      <c r="AA12" s="13" t="s">
        <v>128</v>
      </c>
      <c r="AB12" s="13" t="s">
        <v>236</v>
      </c>
      <c r="AC12" s="13"/>
      <c r="AD12" s="13" t="s">
        <v>69</v>
      </c>
      <c r="AE12" s="13" t="s">
        <v>237</v>
      </c>
      <c r="AF12" s="13"/>
      <c r="AG12" s="13" t="s">
        <v>81</v>
      </c>
      <c r="AH12" s="13" t="s">
        <v>238</v>
      </c>
      <c r="AI12" s="13"/>
      <c r="AJ12" s="13" t="s">
        <v>79</v>
      </c>
      <c r="AK12" s="13" t="s">
        <v>239</v>
      </c>
      <c r="AL12" s="13"/>
      <c r="AM12" s="13" t="s">
        <v>72</v>
      </c>
      <c r="AN12" s="13" t="s">
        <v>240</v>
      </c>
      <c r="AO12" s="13"/>
      <c r="AP12" s="13" t="s">
        <v>89</v>
      </c>
      <c r="AQ12" s="13" t="s">
        <v>241</v>
      </c>
      <c r="AR12" s="13" t="s">
        <v>242</v>
      </c>
      <c r="AS12" s="13" t="s">
        <v>91</v>
      </c>
      <c r="AT12" s="13" t="s">
        <v>243</v>
      </c>
      <c r="AU12" s="13" t="s">
        <v>244</v>
      </c>
      <c r="AV12" s="13" t="s">
        <v>86</v>
      </c>
      <c r="AW12" s="13" t="s">
        <v>245</v>
      </c>
      <c r="AX12" s="13" t="s">
        <v>246</v>
      </c>
      <c r="AY12" s="13" t="s">
        <v>90</v>
      </c>
      <c r="AZ12" s="13" t="s">
        <v>247</v>
      </c>
      <c r="BA12" s="13"/>
      <c r="BB12" s="13" t="s">
        <v>99</v>
      </c>
      <c r="BC12" s="13" t="s">
        <v>248</v>
      </c>
      <c r="BD12" s="13"/>
      <c r="BE12" s="13" t="s">
        <v>71</v>
      </c>
      <c r="BF12" s="13" t="s">
        <v>249</v>
      </c>
      <c r="BG12" s="13" t="s">
        <v>250</v>
      </c>
      <c r="BH12" s="13"/>
      <c r="BI12" s="13"/>
      <c r="BJ12" s="13"/>
      <c r="BK12" s="13"/>
      <c r="BL12" s="13"/>
      <c r="BM12" s="13"/>
      <c r="BN12" s="13"/>
      <c r="BO12" s="13"/>
      <c r="BP12" s="13"/>
    </row>
    <row r="13" spans="1:70" s="12" customFormat="1" x14ac:dyDescent="0.2">
      <c r="A13" s="12" t="s">
        <v>251</v>
      </c>
      <c r="B13" s="17">
        <v>44477</v>
      </c>
      <c r="C13" s="13" t="s">
        <v>114</v>
      </c>
      <c r="D13" s="12" t="s">
        <v>132</v>
      </c>
      <c r="E13" s="12" t="s">
        <v>132</v>
      </c>
      <c r="F13" s="13" t="s">
        <v>90</v>
      </c>
      <c r="G13" s="13" t="s">
        <v>252</v>
      </c>
      <c r="H13" s="13" t="s">
        <v>115</v>
      </c>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2" t="s">
        <v>75</v>
      </c>
      <c r="BR13" s="12" t="s">
        <v>75</v>
      </c>
    </row>
    <row r="14" spans="1:70" s="12" customFormat="1" x14ac:dyDescent="0.2">
      <c r="A14" s="12" t="s">
        <v>253</v>
      </c>
      <c r="B14" s="17">
        <v>44477</v>
      </c>
      <c r="C14" s="13" t="s">
        <v>103</v>
      </c>
      <c r="D14" s="12" t="s">
        <v>132</v>
      </c>
      <c r="E14" s="12" t="s">
        <v>132</v>
      </c>
      <c r="F14" s="13" t="s">
        <v>80</v>
      </c>
      <c r="G14" s="13" t="s">
        <v>254</v>
      </c>
      <c r="H14" s="13" t="s">
        <v>254</v>
      </c>
      <c r="I14" s="13" t="s">
        <v>88</v>
      </c>
      <c r="J14" s="13" t="s">
        <v>255</v>
      </c>
      <c r="K14" s="13" t="s">
        <v>255</v>
      </c>
      <c r="L14" s="13" t="s">
        <v>77</v>
      </c>
      <c r="M14" s="13" t="s">
        <v>256</v>
      </c>
      <c r="N14" s="13" t="s">
        <v>256</v>
      </c>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row>
    <row r="15" spans="1:70" s="12" customFormat="1" x14ac:dyDescent="0.2">
      <c r="A15" s="12" t="s">
        <v>257</v>
      </c>
      <c r="B15" s="17">
        <v>44477</v>
      </c>
      <c r="C15" s="13" t="s">
        <v>114</v>
      </c>
      <c r="D15" s="12" t="s">
        <v>132</v>
      </c>
      <c r="E15" s="12" t="s">
        <v>132</v>
      </c>
      <c r="F15" s="13" t="s">
        <v>74</v>
      </c>
      <c r="G15" s="13" t="s">
        <v>112</v>
      </c>
      <c r="H15" s="13" t="s">
        <v>112</v>
      </c>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row>
    <row r="16" spans="1:70" s="12" customFormat="1" x14ac:dyDescent="0.2">
      <c r="A16" s="12" t="s">
        <v>258</v>
      </c>
      <c r="B16" s="17">
        <v>44477</v>
      </c>
      <c r="C16" s="13" t="s">
        <v>109</v>
      </c>
      <c r="D16" s="12" t="s">
        <v>132</v>
      </c>
      <c r="E16" s="12" t="s">
        <v>132</v>
      </c>
      <c r="F16" s="13" t="s">
        <v>74</v>
      </c>
      <c r="G16" s="13" t="s">
        <v>259</v>
      </c>
      <c r="H16" s="13" t="s">
        <v>259</v>
      </c>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row>
    <row r="17" spans="1:85" s="12" customFormat="1" x14ac:dyDescent="0.2">
      <c r="A17" s="12" t="s">
        <v>260</v>
      </c>
      <c r="B17" s="17">
        <v>44477</v>
      </c>
      <c r="C17" s="13" t="s">
        <v>108</v>
      </c>
      <c r="D17" s="12" t="s">
        <v>132</v>
      </c>
      <c r="E17" s="12" t="s">
        <v>132</v>
      </c>
      <c r="F17" s="13" t="s">
        <v>86</v>
      </c>
      <c r="G17" s="13" t="s">
        <v>261</v>
      </c>
      <c r="H17" s="13" t="s">
        <v>75</v>
      </c>
      <c r="I17" s="13" t="s">
        <v>91</v>
      </c>
      <c r="J17" s="13" t="s">
        <v>262</v>
      </c>
      <c r="K17" s="13" t="s">
        <v>263</v>
      </c>
      <c r="L17" s="13" t="s">
        <v>71</v>
      </c>
      <c r="M17" s="13" t="s">
        <v>264</v>
      </c>
      <c r="N17" s="13"/>
    </row>
    <row r="18" spans="1:85" s="12" customFormat="1" x14ac:dyDescent="0.2">
      <c r="A18" s="12" t="s">
        <v>265</v>
      </c>
      <c r="B18" s="17">
        <v>44477</v>
      </c>
      <c r="C18" s="13" t="s">
        <v>106</v>
      </c>
      <c r="D18" s="12" t="s">
        <v>132</v>
      </c>
      <c r="E18" s="12" t="s">
        <v>132</v>
      </c>
      <c r="F18" s="13" t="s">
        <v>79</v>
      </c>
      <c r="G18" s="13" t="s">
        <v>266</v>
      </c>
      <c r="H18" s="13" t="s">
        <v>267</v>
      </c>
      <c r="I18" s="13"/>
      <c r="J18" s="13"/>
      <c r="K18" s="13"/>
      <c r="L18" s="13"/>
      <c r="M18" s="13"/>
      <c r="N18" s="13"/>
    </row>
    <row r="19" spans="1:85" s="12" customFormat="1" x14ac:dyDescent="0.2">
      <c r="A19" s="12" t="s">
        <v>268</v>
      </c>
      <c r="B19" s="17">
        <v>44477</v>
      </c>
      <c r="C19" s="13" t="s">
        <v>92</v>
      </c>
      <c r="D19" s="12" t="s">
        <v>132</v>
      </c>
      <c r="E19" s="12" t="s">
        <v>132</v>
      </c>
      <c r="F19" s="13" t="s">
        <v>69</v>
      </c>
      <c r="G19" s="13" t="s">
        <v>75</v>
      </c>
      <c r="H19" s="13" t="s">
        <v>75</v>
      </c>
      <c r="I19" s="13"/>
      <c r="J19" s="13"/>
      <c r="K19" s="13"/>
      <c r="L19" s="13"/>
      <c r="M19" s="13"/>
      <c r="N19" s="13"/>
    </row>
    <row r="20" spans="1:85" s="12" customFormat="1" x14ac:dyDescent="0.2">
      <c r="A20" s="12" t="s">
        <v>269</v>
      </c>
      <c r="B20" s="17">
        <v>44477</v>
      </c>
      <c r="C20" s="13" t="s">
        <v>104</v>
      </c>
      <c r="D20" s="12" t="s">
        <v>132</v>
      </c>
      <c r="E20" s="12" t="s">
        <v>132</v>
      </c>
      <c r="F20" s="13" t="s">
        <v>69</v>
      </c>
      <c r="G20" s="13" t="s">
        <v>75</v>
      </c>
      <c r="H20" s="13" t="s">
        <v>75</v>
      </c>
      <c r="I20" s="13"/>
      <c r="J20" s="13"/>
      <c r="K20" s="13"/>
      <c r="L20" s="13"/>
      <c r="M20" s="13"/>
      <c r="N20" s="13"/>
    </row>
    <row r="21" spans="1:85" s="12" customFormat="1" ht="15.75" customHeight="1" x14ac:dyDescent="0.2">
      <c r="A21" s="12" t="s">
        <v>270</v>
      </c>
      <c r="B21" s="17">
        <v>44477</v>
      </c>
      <c r="C21" s="13" t="s">
        <v>117</v>
      </c>
      <c r="D21" s="12" t="s">
        <v>132</v>
      </c>
      <c r="E21" s="12" t="s">
        <v>132</v>
      </c>
      <c r="F21" s="13" t="s">
        <v>79</v>
      </c>
      <c r="G21" s="13" t="s">
        <v>271</v>
      </c>
      <c r="H21" s="13" t="s">
        <v>75</v>
      </c>
      <c r="I21" s="13" t="s">
        <v>98</v>
      </c>
      <c r="J21" s="13" t="s">
        <v>272</v>
      </c>
      <c r="K21" s="13" t="s">
        <v>75</v>
      </c>
      <c r="L21" s="13" t="s">
        <v>69</v>
      </c>
      <c r="M21" s="13" t="s">
        <v>273</v>
      </c>
      <c r="N21" s="13" t="s">
        <v>274</v>
      </c>
    </row>
    <row r="22" spans="1:85" ht="15.75" customHeight="1" x14ac:dyDescent="0.2">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row>
    <row r="23" spans="1:85" ht="15.75" customHeight="1" x14ac:dyDescent="0.2"/>
    <row r="24" spans="1:85" ht="15.75" customHeight="1" x14ac:dyDescent="0.2"/>
    <row r="25" spans="1:85" ht="15.75" customHeight="1" x14ac:dyDescent="0.2"/>
    <row r="26" spans="1:85" ht="15.75" customHeight="1" x14ac:dyDescent="0.2"/>
    <row r="27" spans="1:85" ht="15.75" customHeight="1" x14ac:dyDescent="0.2"/>
    <row r="28" spans="1:85" ht="15.75" customHeight="1" x14ac:dyDescent="0.2"/>
    <row r="29" spans="1:85" ht="15.75" customHeight="1" x14ac:dyDescent="0.2"/>
    <row r="30" spans="1:85" ht="15.75" customHeight="1" x14ac:dyDescent="0.2"/>
    <row r="31" spans="1:85" ht="15.75" customHeight="1" x14ac:dyDescent="0.2"/>
    <row r="32" spans="1:85"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sheetData>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H93"/>
  <sheetViews>
    <sheetView workbookViewId="0">
      <pane ySplit="1" topLeftCell="A2" activePane="bottomLeft" state="frozen"/>
      <selection pane="bottomLeft" activeCell="B1" sqref="B1:B1048576"/>
    </sheetView>
  </sheetViews>
  <sheetFormatPr baseColWidth="10" defaultColWidth="11.5" defaultRowHeight="15" x14ac:dyDescent="0.2"/>
  <cols>
    <col min="1" max="1" width="11.5" style="1"/>
    <col min="2" max="2" width="23" style="15" customWidth="1"/>
    <col min="3" max="3" width="40.83203125" style="1" customWidth="1"/>
    <col min="4" max="4" width="41" style="1" customWidth="1"/>
    <col min="5" max="5" width="38.5" style="1" bestFit="1" customWidth="1"/>
    <col min="6" max="6" width="26.1640625" style="1" bestFit="1" customWidth="1"/>
    <col min="7" max="7" width="31.33203125" style="1" customWidth="1"/>
    <col min="8" max="8" width="49.5" style="1" customWidth="1"/>
    <col min="9" max="16384" width="11.5" style="1"/>
  </cols>
  <sheetData>
    <row r="1" spans="1:8" s="5" customFormat="1" x14ac:dyDescent="0.2">
      <c r="A1" s="6" t="s">
        <v>119</v>
      </c>
      <c r="B1" s="7" t="s">
        <v>120</v>
      </c>
      <c r="C1" s="6" t="s">
        <v>121</v>
      </c>
      <c r="D1" s="6" t="s">
        <v>124</v>
      </c>
      <c r="E1" s="6" t="s">
        <v>125</v>
      </c>
      <c r="F1" s="6" t="s">
        <v>118</v>
      </c>
      <c r="G1" s="6" t="s">
        <v>122</v>
      </c>
      <c r="H1" s="6" t="s">
        <v>123</v>
      </c>
    </row>
    <row r="2" spans="1:8" x14ac:dyDescent="0.2">
      <c r="A2" s="1">
        <v>203023</v>
      </c>
      <c r="B2" s="15">
        <v>44418</v>
      </c>
      <c r="C2" s="1" t="s">
        <v>68</v>
      </c>
      <c r="D2" s="1" t="s">
        <v>132</v>
      </c>
      <c r="E2" s="1" t="s">
        <v>132</v>
      </c>
      <c r="F2" s="1" t="s">
        <v>69</v>
      </c>
      <c r="G2" s="1" t="s">
        <v>133</v>
      </c>
      <c r="H2" s="1" t="s">
        <v>134</v>
      </c>
    </row>
    <row r="3" spans="1:8" x14ac:dyDescent="0.2">
      <c r="A3" s="1">
        <v>203023</v>
      </c>
      <c r="B3" s="15">
        <v>44418</v>
      </c>
      <c r="C3" s="1" t="s">
        <v>68</v>
      </c>
      <c r="D3" s="1" t="s">
        <v>132</v>
      </c>
      <c r="E3" s="1" t="s">
        <v>132</v>
      </c>
      <c r="F3" s="1" t="s">
        <v>70</v>
      </c>
      <c r="G3" s="1" t="s">
        <v>135</v>
      </c>
      <c r="H3" s="1" t="s">
        <v>136</v>
      </c>
    </row>
    <row r="4" spans="1:8" ht="32" x14ac:dyDescent="0.2">
      <c r="A4" s="1">
        <v>203023</v>
      </c>
      <c r="B4" s="15">
        <v>44418</v>
      </c>
      <c r="C4" s="1" t="s">
        <v>68</v>
      </c>
      <c r="D4" s="1" t="s">
        <v>132</v>
      </c>
      <c r="E4" s="1" t="s">
        <v>132</v>
      </c>
      <c r="F4" s="1" t="s">
        <v>71</v>
      </c>
      <c r="G4" s="1" t="s">
        <v>137</v>
      </c>
      <c r="H4" s="2" t="s">
        <v>138</v>
      </c>
    </row>
    <row r="5" spans="1:8" x14ac:dyDescent="0.2">
      <c r="A5" s="1">
        <v>203023</v>
      </c>
      <c r="B5" s="15">
        <v>44418</v>
      </c>
      <c r="C5" s="1" t="s">
        <v>68</v>
      </c>
      <c r="D5" s="1" t="s">
        <v>132</v>
      </c>
      <c r="E5" s="1" t="s">
        <v>132</v>
      </c>
      <c r="F5" s="1" t="s">
        <v>81</v>
      </c>
      <c r="G5" s="1" t="s">
        <v>139</v>
      </c>
      <c r="H5" s="1" t="s">
        <v>140</v>
      </c>
    </row>
    <row r="6" spans="1:8" x14ac:dyDescent="0.2">
      <c r="A6" s="1">
        <v>203023</v>
      </c>
      <c r="B6" s="15">
        <v>44418</v>
      </c>
      <c r="C6" s="1" t="s">
        <v>68</v>
      </c>
      <c r="D6" s="1" t="s">
        <v>132</v>
      </c>
      <c r="E6" s="1" t="s">
        <v>132</v>
      </c>
      <c r="F6" s="1" t="s">
        <v>128</v>
      </c>
      <c r="G6" s="1" t="s">
        <v>141</v>
      </c>
      <c r="H6" s="1" t="s">
        <v>142</v>
      </c>
    </row>
    <row r="7" spans="1:8" ht="304" x14ac:dyDescent="0.2">
      <c r="A7" s="1">
        <v>203662</v>
      </c>
      <c r="B7" s="15">
        <v>44418</v>
      </c>
      <c r="C7" s="1" t="s">
        <v>116</v>
      </c>
      <c r="D7" s="1" t="s">
        <v>132</v>
      </c>
      <c r="E7" s="1" t="s">
        <v>132</v>
      </c>
      <c r="F7" s="1" t="s">
        <v>82</v>
      </c>
      <c r="G7" s="2" t="s">
        <v>144</v>
      </c>
      <c r="H7" s="1" t="s">
        <v>75</v>
      </c>
    </row>
    <row r="8" spans="1:8" ht="224" x14ac:dyDescent="0.2">
      <c r="A8" s="1">
        <v>203662</v>
      </c>
      <c r="B8" s="15">
        <v>44418</v>
      </c>
      <c r="C8" s="1" t="s">
        <v>116</v>
      </c>
      <c r="D8" s="1" t="s">
        <v>132</v>
      </c>
      <c r="E8" s="1" t="s">
        <v>132</v>
      </c>
      <c r="F8" s="1" t="s">
        <v>69</v>
      </c>
      <c r="G8" s="2" t="s">
        <v>145</v>
      </c>
      <c r="H8" s="1" t="s">
        <v>75</v>
      </c>
    </row>
    <row r="9" spans="1:8" ht="80" x14ac:dyDescent="0.2">
      <c r="A9" s="1">
        <v>203662</v>
      </c>
      <c r="B9" s="15">
        <v>44418</v>
      </c>
      <c r="C9" s="1" t="s">
        <v>116</v>
      </c>
      <c r="D9" s="1" t="s">
        <v>132</v>
      </c>
      <c r="E9" s="1" t="s">
        <v>132</v>
      </c>
      <c r="F9" s="1" t="s">
        <v>96</v>
      </c>
      <c r="G9" s="2" t="s">
        <v>146</v>
      </c>
      <c r="H9" s="1" t="s">
        <v>75</v>
      </c>
    </row>
    <row r="10" spans="1:8" ht="112" x14ac:dyDescent="0.2">
      <c r="A10" s="1">
        <v>203662</v>
      </c>
      <c r="B10" s="15">
        <v>44418</v>
      </c>
      <c r="C10" s="1" t="s">
        <v>116</v>
      </c>
      <c r="D10" s="1" t="s">
        <v>132</v>
      </c>
      <c r="E10" s="1" t="s">
        <v>132</v>
      </c>
      <c r="F10" s="1" t="s">
        <v>74</v>
      </c>
      <c r="G10" s="2" t="s">
        <v>147</v>
      </c>
      <c r="H10" s="1" t="s">
        <v>75</v>
      </c>
    </row>
    <row r="11" spans="1:8" x14ac:dyDescent="0.2">
      <c r="A11" s="1">
        <v>203770</v>
      </c>
      <c r="B11" s="15">
        <v>44418</v>
      </c>
      <c r="C11" s="1" t="s">
        <v>85</v>
      </c>
      <c r="D11" s="1" t="s">
        <v>132</v>
      </c>
      <c r="E11" s="1" t="s">
        <v>132</v>
      </c>
      <c r="F11" s="1" t="s">
        <v>81</v>
      </c>
      <c r="G11" s="1" t="s">
        <v>149</v>
      </c>
      <c r="H11" s="1" t="s">
        <v>150</v>
      </c>
    </row>
    <row r="12" spans="1:8" ht="48" x14ac:dyDescent="0.2">
      <c r="A12" s="1">
        <v>203770</v>
      </c>
      <c r="B12" s="15">
        <v>44418</v>
      </c>
      <c r="C12" s="1" t="s">
        <v>85</v>
      </c>
      <c r="D12" s="1" t="s">
        <v>132</v>
      </c>
      <c r="E12" s="1" t="s">
        <v>132</v>
      </c>
      <c r="F12" s="1" t="s">
        <v>96</v>
      </c>
      <c r="G12" s="1" t="s">
        <v>151</v>
      </c>
      <c r="H12" s="2" t="s">
        <v>152</v>
      </c>
    </row>
    <row r="13" spans="1:8" ht="48" x14ac:dyDescent="0.2">
      <c r="A13" s="1">
        <v>203770</v>
      </c>
      <c r="B13" s="15">
        <v>44418</v>
      </c>
      <c r="C13" s="1" t="s">
        <v>85</v>
      </c>
      <c r="D13" s="1" t="s">
        <v>132</v>
      </c>
      <c r="E13" s="1" t="s">
        <v>132</v>
      </c>
      <c r="F13" s="1" t="s">
        <v>84</v>
      </c>
      <c r="G13" s="1" t="s">
        <v>153</v>
      </c>
      <c r="H13" s="2" t="s">
        <v>154</v>
      </c>
    </row>
    <row r="14" spans="1:8" ht="48" x14ac:dyDescent="0.2">
      <c r="A14" s="1">
        <v>203770</v>
      </c>
      <c r="B14" s="15">
        <v>44418</v>
      </c>
      <c r="C14" s="1" t="s">
        <v>85</v>
      </c>
      <c r="D14" s="1" t="s">
        <v>132</v>
      </c>
      <c r="E14" s="1" t="s">
        <v>132</v>
      </c>
      <c r="F14" s="1" t="s">
        <v>77</v>
      </c>
      <c r="G14" s="1" t="s">
        <v>155</v>
      </c>
      <c r="H14" s="2" t="s">
        <v>156</v>
      </c>
    </row>
    <row r="15" spans="1:8" ht="48" x14ac:dyDescent="0.2">
      <c r="A15" s="1">
        <v>203770</v>
      </c>
      <c r="B15" s="15">
        <v>44418</v>
      </c>
      <c r="C15" s="1" t="s">
        <v>85</v>
      </c>
      <c r="D15" s="1" t="s">
        <v>132</v>
      </c>
      <c r="E15" s="1" t="s">
        <v>132</v>
      </c>
      <c r="F15" s="1" t="s">
        <v>82</v>
      </c>
      <c r="G15" s="1" t="s">
        <v>157</v>
      </c>
      <c r="H15" s="2" t="s">
        <v>158</v>
      </c>
    </row>
    <row r="16" spans="1:8" ht="48" x14ac:dyDescent="0.2">
      <c r="A16" s="1">
        <v>203770</v>
      </c>
      <c r="B16" s="15">
        <v>44418</v>
      </c>
      <c r="C16" s="1" t="s">
        <v>85</v>
      </c>
      <c r="D16" s="1" t="s">
        <v>132</v>
      </c>
      <c r="E16" s="1" t="s">
        <v>132</v>
      </c>
      <c r="F16" s="1" t="s">
        <v>86</v>
      </c>
      <c r="G16" s="1" t="s">
        <v>159</v>
      </c>
      <c r="H16" s="2" t="s">
        <v>160</v>
      </c>
    </row>
    <row r="17" spans="1:8" ht="48" x14ac:dyDescent="0.2">
      <c r="A17" s="1">
        <v>203770</v>
      </c>
      <c r="B17" s="15">
        <v>44418</v>
      </c>
      <c r="C17" s="1" t="s">
        <v>85</v>
      </c>
      <c r="D17" s="1" t="s">
        <v>132</v>
      </c>
      <c r="E17" s="1" t="s">
        <v>132</v>
      </c>
      <c r="F17" s="1" t="s">
        <v>71</v>
      </c>
      <c r="G17" s="1" t="s">
        <v>161</v>
      </c>
      <c r="H17" s="2" t="s">
        <v>162</v>
      </c>
    </row>
    <row r="18" spans="1:8" ht="80" x14ac:dyDescent="0.2">
      <c r="A18" s="1">
        <v>203770</v>
      </c>
      <c r="B18" s="15">
        <v>44418</v>
      </c>
      <c r="C18" s="1" t="s">
        <v>85</v>
      </c>
      <c r="D18" s="1" t="s">
        <v>132</v>
      </c>
      <c r="E18" s="1" t="s">
        <v>132</v>
      </c>
      <c r="F18" s="1" t="s">
        <v>77</v>
      </c>
      <c r="G18" s="2" t="s">
        <v>163</v>
      </c>
      <c r="H18" s="2" t="s">
        <v>164</v>
      </c>
    </row>
    <row r="19" spans="1:8" ht="80" x14ac:dyDescent="0.2">
      <c r="A19" s="1">
        <v>203770</v>
      </c>
      <c r="B19" s="15">
        <v>44418</v>
      </c>
      <c r="C19" s="1" t="s">
        <v>85</v>
      </c>
      <c r="D19" s="1" t="s">
        <v>132</v>
      </c>
      <c r="E19" s="1" t="s">
        <v>132</v>
      </c>
      <c r="F19" s="1" t="s">
        <v>69</v>
      </c>
      <c r="G19" s="2" t="s">
        <v>165</v>
      </c>
    </row>
    <row r="20" spans="1:8" ht="80" x14ac:dyDescent="0.2">
      <c r="A20" s="1">
        <v>203770</v>
      </c>
      <c r="B20" s="15">
        <v>44418</v>
      </c>
      <c r="C20" s="1" t="s">
        <v>85</v>
      </c>
      <c r="D20" s="1" t="s">
        <v>132</v>
      </c>
      <c r="E20" s="1" t="s">
        <v>132</v>
      </c>
      <c r="F20" s="1" t="s">
        <v>82</v>
      </c>
      <c r="G20" s="2" t="s">
        <v>166</v>
      </c>
    </row>
    <row r="21" spans="1:8" ht="80" x14ac:dyDescent="0.2">
      <c r="A21" s="1">
        <v>203770</v>
      </c>
      <c r="B21" s="15">
        <v>44418</v>
      </c>
      <c r="C21" s="1" t="s">
        <v>85</v>
      </c>
      <c r="D21" s="1" t="s">
        <v>132</v>
      </c>
      <c r="E21" s="1" t="s">
        <v>132</v>
      </c>
      <c r="F21" s="1" t="s">
        <v>91</v>
      </c>
      <c r="G21" s="2" t="s">
        <v>167</v>
      </c>
    </row>
    <row r="22" spans="1:8" x14ac:dyDescent="0.2">
      <c r="A22" s="1">
        <v>203830</v>
      </c>
      <c r="B22" s="15">
        <v>44418</v>
      </c>
      <c r="C22" s="1" t="s">
        <v>100</v>
      </c>
      <c r="D22" s="1" t="s">
        <v>132</v>
      </c>
      <c r="E22" s="1" t="s">
        <v>132</v>
      </c>
      <c r="F22" s="1" t="s">
        <v>69</v>
      </c>
      <c r="G22" s="1" t="s">
        <v>169</v>
      </c>
      <c r="H22" s="1" t="s">
        <v>170</v>
      </c>
    </row>
    <row r="23" spans="1:8" x14ac:dyDescent="0.2">
      <c r="A23" s="1">
        <v>203830</v>
      </c>
      <c r="B23" s="15">
        <v>44418</v>
      </c>
      <c r="C23" s="1" t="s">
        <v>100</v>
      </c>
      <c r="D23" s="1" t="s">
        <v>132</v>
      </c>
      <c r="E23" s="1" t="s">
        <v>132</v>
      </c>
      <c r="F23" s="1" t="s">
        <v>91</v>
      </c>
      <c r="G23" s="1" t="s">
        <v>171</v>
      </c>
      <c r="H23" s="1" t="s">
        <v>172</v>
      </c>
    </row>
    <row r="24" spans="1:8" x14ac:dyDescent="0.2">
      <c r="A24" s="1">
        <v>203830</v>
      </c>
      <c r="B24" s="15">
        <v>44418</v>
      </c>
      <c r="C24" s="1" t="s">
        <v>100</v>
      </c>
      <c r="D24" s="1" t="s">
        <v>132</v>
      </c>
      <c r="E24" s="1" t="s">
        <v>132</v>
      </c>
      <c r="F24" s="1" t="s">
        <v>88</v>
      </c>
      <c r="G24" s="1" t="s">
        <v>173</v>
      </c>
      <c r="H24" s="1" t="s">
        <v>174</v>
      </c>
    </row>
    <row r="25" spans="1:8" x14ac:dyDescent="0.2">
      <c r="A25" s="1">
        <v>203830</v>
      </c>
      <c r="B25" s="15">
        <v>44418</v>
      </c>
      <c r="C25" s="1" t="s">
        <v>100</v>
      </c>
      <c r="D25" s="1" t="s">
        <v>132</v>
      </c>
      <c r="E25" s="1" t="s">
        <v>132</v>
      </c>
      <c r="F25" s="1" t="s">
        <v>88</v>
      </c>
      <c r="G25" s="1" t="s">
        <v>175</v>
      </c>
      <c r="H25" s="1" t="s">
        <v>176</v>
      </c>
    </row>
    <row r="26" spans="1:8" x14ac:dyDescent="0.2">
      <c r="A26" s="1">
        <v>203830</v>
      </c>
      <c r="B26" s="15">
        <v>44418</v>
      </c>
      <c r="C26" s="1" t="s">
        <v>100</v>
      </c>
      <c r="D26" s="1" t="s">
        <v>132</v>
      </c>
      <c r="E26" s="1" t="s">
        <v>132</v>
      </c>
      <c r="F26" s="1" t="s">
        <v>69</v>
      </c>
      <c r="G26" s="1" t="s">
        <v>177</v>
      </c>
      <c r="H26" s="1" t="s">
        <v>129</v>
      </c>
    </row>
    <row r="27" spans="1:8" x14ac:dyDescent="0.2">
      <c r="A27" s="1">
        <v>203830</v>
      </c>
      <c r="B27" s="15">
        <v>44418</v>
      </c>
      <c r="C27" s="1" t="s">
        <v>100</v>
      </c>
      <c r="D27" s="1" t="s">
        <v>132</v>
      </c>
      <c r="E27" s="1" t="s">
        <v>132</v>
      </c>
      <c r="F27" s="1" t="s">
        <v>89</v>
      </c>
      <c r="G27" s="1" t="s">
        <v>178</v>
      </c>
      <c r="H27" s="1" t="s">
        <v>179</v>
      </c>
    </row>
    <row r="28" spans="1:8" x14ac:dyDescent="0.2">
      <c r="A28" s="1">
        <v>203830</v>
      </c>
      <c r="B28" s="15">
        <v>44418</v>
      </c>
      <c r="C28" s="1" t="s">
        <v>100</v>
      </c>
      <c r="D28" s="1" t="s">
        <v>132</v>
      </c>
      <c r="E28" s="1" t="s">
        <v>132</v>
      </c>
      <c r="F28" s="1" t="s">
        <v>90</v>
      </c>
      <c r="G28" s="1" t="s">
        <v>180</v>
      </c>
      <c r="H28" s="1" t="s">
        <v>181</v>
      </c>
    </row>
    <row r="29" spans="1:8" x14ac:dyDescent="0.2">
      <c r="A29" s="1">
        <v>203831</v>
      </c>
      <c r="B29" s="15">
        <v>44418</v>
      </c>
      <c r="C29" s="1" t="s">
        <v>76</v>
      </c>
      <c r="D29" s="1" t="s">
        <v>132</v>
      </c>
      <c r="E29" s="1" t="s">
        <v>132</v>
      </c>
      <c r="F29" s="1" t="s">
        <v>79</v>
      </c>
      <c r="G29" s="1" t="s">
        <v>183</v>
      </c>
      <c r="H29" s="1" t="s">
        <v>112</v>
      </c>
    </row>
    <row r="30" spans="1:8" ht="409.6" x14ac:dyDescent="0.2">
      <c r="A30" s="1">
        <v>203863</v>
      </c>
      <c r="B30" s="15">
        <v>44418</v>
      </c>
      <c r="C30" s="1" t="s">
        <v>111</v>
      </c>
      <c r="D30" s="1" t="s">
        <v>132</v>
      </c>
      <c r="E30" s="1" t="s">
        <v>132</v>
      </c>
      <c r="F30" s="1" t="s">
        <v>69</v>
      </c>
      <c r="G30" s="2" t="s">
        <v>185</v>
      </c>
      <c r="H30" s="1" t="s">
        <v>112</v>
      </c>
    </row>
    <row r="31" spans="1:8" x14ac:dyDescent="0.2">
      <c r="A31" s="1">
        <v>203880</v>
      </c>
      <c r="B31" s="15">
        <v>44418</v>
      </c>
      <c r="C31" s="1" t="s">
        <v>93</v>
      </c>
      <c r="D31" s="1" t="s">
        <v>132</v>
      </c>
      <c r="E31" s="1" t="s">
        <v>132</v>
      </c>
      <c r="F31" s="1" t="s">
        <v>74</v>
      </c>
      <c r="G31" s="1" t="s">
        <v>94</v>
      </c>
      <c r="H31" s="1" t="s">
        <v>94</v>
      </c>
    </row>
    <row r="32" spans="1:8" ht="176" x14ac:dyDescent="0.2">
      <c r="A32" s="1">
        <v>203905</v>
      </c>
      <c r="B32" s="15">
        <v>44418</v>
      </c>
      <c r="C32" s="1" t="s">
        <v>87</v>
      </c>
      <c r="D32" s="1" t="s">
        <v>132</v>
      </c>
      <c r="E32" s="1" t="s">
        <v>132</v>
      </c>
      <c r="F32" s="1" t="s">
        <v>74</v>
      </c>
      <c r="G32" s="2" t="s">
        <v>188</v>
      </c>
      <c r="H32" s="1" t="s">
        <v>189</v>
      </c>
    </row>
    <row r="33" spans="1:8" ht="224" x14ac:dyDescent="0.2">
      <c r="A33" s="1">
        <v>203905</v>
      </c>
      <c r="B33" s="15">
        <v>44418</v>
      </c>
      <c r="C33" s="1" t="s">
        <v>87</v>
      </c>
      <c r="D33" s="1" t="s">
        <v>132</v>
      </c>
      <c r="E33" s="1" t="s">
        <v>132</v>
      </c>
      <c r="F33" s="1" t="s">
        <v>96</v>
      </c>
      <c r="G33" s="2" t="s">
        <v>190</v>
      </c>
      <c r="H33" s="1" t="s">
        <v>191</v>
      </c>
    </row>
    <row r="34" spans="1:8" ht="380" x14ac:dyDescent="0.2">
      <c r="A34" s="1">
        <v>203905</v>
      </c>
      <c r="B34" s="15">
        <v>44418</v>
      </c>
      <c r="C34" s="1" t="s">
        <v>87</v>
      </c>
      <c r="D34" s="1" t="s">
        <v>132</v>
      </c>
      <c r="E34" s="1" t="s">
        <v>132</v>
      </c>
      <c r="F34" s="1" t="s">
        <v>88</v>
      </c>
      <c r="G34" s="2" t="s">
        <v>192</v>
      </c>
      <c r="H34" s="1" t="s">
        <v>191</v>
      </c>
    </row>
    <row r="35" spans="1:8" ht="144" x14ac:dyDescent="0.2">
      <c r="A35" s="1">
        <v>203905</v>
      </c>
      <c r="B35" s="15">
        <v>44418</v>
      </c>
      <c r="C35" s="1" t="s">
        <v>87</v>
      </c>
      <c r="D35" s="1" t="s">
        <v>132</v>
      </c>
      <c r="E35" s="1" t="s">
        <v>132</v>
      </c>
      <c r="F35" s="1" t="s">
        <v>80</v>
      </c>
      <c r="G35" s="2" t="s">
        <v>193</v>
      </c>
    </row>
    <row r="36" spans="1:8" ht="176" x14ac:dyDescent="0.2">
      <c r="A36" s="1">
        <v>203905</v>
      </c>
      <c r="B36" s="15">
        <v>44418</v>
      </c>
      <c r="C36" s="1" t="s">
        <v>87</v>
      </c>
      <c r="D36" s="1" t="s">
        <v>132</v>
      </c>
      <c r="E36" s="1" t="s">
        <v>132</v>
      </c>
      <c r="F36" s="1" t="s">
        <v>84</v>
      </c>
      <c r="G36" s="2" t="s">
        <v>194</v>
      </c>
    </row>
    <row r="37" spans="1:8" x14ac:dyDescent="0.2">
      <c r="A37" s="1">
        <v>203905</v>
      </c>
      <c r="B37" s="15">
        <v>44418</v>
      </c>
      <c r="C37" s="1" t="s">
        <v>87</v>
      </c>
      <c r="D37" s="1" t="s">
        <v>132</v>
      </c>
      <c r="E37" s="1" t="s">
        <v>132</v>
      </c>
      <c r="F37" s="1" t="s">
        <v>70</v>
      </c>
      <c r="G37" s="1" t="s">
        <v>195</v>
      </c>
    </row>
    <row r="38" spans="1:8" ht="409.6" x14ac:dyDescent="0.2">
      <c r="A38" s="1">
        <v>203905</v>
      </c>
      <c r="B38" s="15">
        <v>44418</v>
      </c>
      <c r="C38" s="1" t="s">
        <v>87</v>
      </c>
      <c r="D38" s="1" t="s">
        <v>132</v>
      </c>
      <c r="E38" s="1" t="s">
        <v>132</v>
      </c>
      <c r="F38" s="1" t="s">
        <v>77</v>
      </c>
      <c r="G38" s="2" t="s">
        <v>196</v>
      </c>
    </row>
    <row r="39" spans="1:8" ht="272" x14ac:dyDescent="0.2">
      <c r="A39" s="1">
        <v>203905</v>
      </c>
      <c r="B39" s="15">
        <v>44418</v>
      </c>
      <c r="C39" s="1" t="s">
        <v>87</v>
      </c>
      <c r="D39" s="1" t="s">
        <v>132</v>
      </c>
      <c r="E39" s="1" t="s">
        <v>132</v>
      </c>
      <c r="F39" s="1" t="s">
        <v>82</v>
      </c>
      <c r="G39" s="2" t="s">
        <v>197</v>
      </c>
    </row>
    <row r="40" spans="1:8" ht="112" x14ac:dyDescent="0.2">
      <c r="A40" s="1">
        <v>203905</v>
      </c>
      <c r="B40" s="15">
        <v>44418</v>
      </c>
      <c r="C40" s="1" t="s">
        <v>87</v>
      </c>
      <c r="D40" s="1" t="s">
        <v>132</v>
      </c>
      <c r="E40" s="1" t="s">
        <v>132</v>
      </c>
      <c r="F40" s="1" t="s">
        <v>128</v>
      </c>
      <c r="G40" s="2" t="s">
        <v>198</v>
      </c>
    </row>
    <row r="41" spans="1:8" ht="409.6" x14ac:dyDescent="0.2">
      <c r="A41" s="1">
        <v>203905</v>
      </c>
      <c r="B41" s="15">
        <v>44418</v>
      </c>
      <c r="C41" s="1" t="s">
        <v>87</v>
      </c>
      <c r="D41" s="1" t="s">
        <v>132</v>
      </c>
      <c r="E41" s="1" t="s">
        <v>132</v>
      </c>
      <c r="F41" s="1" t="s">
        <v>69</v>
      </c>
      <c r="G41" s="2" t="s">
        <v>199</v>
      </c>
    </row>
    <row r="42" spans="1:8" ht="409.6" x14ac:dyDescent="0.2">
      <c r="A42" s="1">
        <v>203905</v>
      </c>
      <c r="B42" s="15">
        <v>44418</v>
      </c>
      <c r="C42" s="1" t="s">
        <v>87</v>
      </c>
      <c r="D42" s="1" t="s">
        <v>132</v>
      </c>
      <c r="E42" s="1" t="s">
        <v>132</v>
      </c>
      <c r="F42" s="1" t="s">
        <v>81</v>
      </c>
      <c r="G42" s="2" t="s">
        <v>200</v>
      </c>
    </row>
    <row r="43" spans="1:8" ht="320" x14ac:dyDescent="0.2">
      <c r="A43" s="1">
        <v>203905</v>
      </c>
      <c r="B43" s="15">
        <v>44418</v>
      </c>
      <c r="C43" s="1" t="s">
        <v>87</v>
      </c>
      <c r="D43" s="1" t="s">
        <v>132</v>
      </c>
      <c r="E43" s="1" t="s">
        <v>132</v>
      </c>
      <c r="F43" s="1" t="s">
        <v>97</v>
      </c>
      <c r="G43" s="2" t="s">
        <v>201</v>
      </c>
    </row>
    <row r="44" spans="1:8" x14ac:dyDescent="0.2">
      <c r="A44" s="1">
        <v>203905</v>
      </c>
      <c r="B44" s="15">
        <v>44418</v>
      </c>
      <c r="C44" s="1" t="s">
        <v>87</v>
      </c>
      <c r="D44" s="1" t="s">
        <v>132</v>
      </c>
      <c r="E44" s="1" t="s">
        <v>132</v>
      </c>
      <c r="F44" s="1" t="s">
        <v>79</v>
      </c>
      <c r="G44" s="1" t="s">
        <v>202</v>
      </c>
    </row>
    <row r="45" spans="1:8" ht="144" x14ac:dyDescent="0.2">
      <c r="A45" s="1">
        <v>203905</v>
      </c>
      <c r="B45" s="15">
        <v>44418</v>
      </c>
      <c r="C45" s="1" t="s">
        <v>87</v>
      </c>
      <c r="D45" s="1" t="s">
        <v>132</v>
      </c>
      <c r="E45" s="1" t="s">
        <v>132</v>
      </c>
      <c r="F45" s="1" t="s">
        <v>72</v>
      </c>
      <c r="G45" s="2" t="s">
        <v>203</v>
      </c>
    </row>
    <row r="46" spans="1:8" ht="409.6" x14ac:dyDescent="0.2">
      <c r="A46" s="1">
        <v>203905</v>
      </c>
      <c r="B46" s="15">
        <v>44418</v>
      </c>
      <c r="C46" s="1" t="s">
        <v>87</v>
      </c>
      <c r="D46" s="1" t="s">
        <v>132</v>
      </c>
      <c r="E46" s="1" t="s">
        <v>132</v>
      </c>
      <c r="F46" s="1" t="s">
        <v>98</v>
      </c>
      <c r="G46" s="2" t="s">
        <v>204</v>
      </c>
    </row>
    <row r="47" spans="1:8" ht="256" x14ac:dyDescent="0.2">
      <c r="A47" s="1">
        <v>203905</v>
      </c>
      <c r="B47" s="15">
        <v>44418</v>
      </c>
      <c r="C47" s="1" t="s">
        <v>87</v>
      </c>
      <c r="D47" s="1" t="s">
        <v>132</v>
      </c>
      <c r="E47" s="1" t="s">
        <v>132</v>
      </c>
      <c r="F47" s="1" t="s">
        <v>89</v>
      </c>
      <c r="G47" s="2" t="s">
        <v>205</v>
      </c>
    </row>
    <row r="48" spans="1:8" ht="176" x14ac:dyDescent="0.2">
      <c r="A48" s="1">
        <v>203905</v>
      </c>
      <c r="B48" s="15">
        <v>44418</v>
      </c>
      <c r="C48" s="1" t="s">
        <v>87</v>
      </c>
      <c r="D48" s="1" t="s">
        <v>132</v>
      </c>
      <c r="E48" s="1" t="s">
        <v>132</v>
      </c>
      <c r="F48" s="1" t="s">
        <v>91</v>
      </c>
      <c r="G48" s="2" t="s">
        <v>206</v>
      </c>
    </row>
    <row r="49" spans="1:8" ht="409.6" x14ac:dyDescent="0.2">
      <c r="A49" s="1">
        <v>203905</v>
      </c>
      <c r="B49" s="15">
        <v>44418</v>
      </c>
      <c r="C49" s="1" t="s">
        <v>87</v>
      </c>
      <c r="D49" s="1" t="s">
        <v>132</v>
      </c>
      <c r="E49" s="1" t="s">
        <v>132</v>
      </c>
      <c r="F49" s="1" t="s">
        <v>86</v>
      </c>
      <c r="G49" s="2" t="s">
        <v>207</v>
      </c>
    </row>
    <row r="50" spans="1:8" ht="365" x14ac:dyDescent="0.2">
      <c r="A50" s="1">
        <v>203905</v>
      </c>
      <c r="B50" s="15">
        <v>44418</v>
      </c>
      <c r="C50" s="1" t="s">
        <v>87</v>
      </c>
      <c r="D50" s="1" t="s">
        <v>132</v>
      </c>
      <c r="E50" s="1" t="s">
        <v>132</v>
      </c>
      <c r="F50" s="1" t="s">
        <v>90</v>
      </c>
      <c r="G50" s="2" t="s">
        <v>208</v>
      </c>
    </row>
    <row r="51" spans="1:8" ht="288" x14ac:dyDescent="0.2">
      <c r="A51" s="1">
        <v>203905</v>
      </c>
      <c r="B51" s="15">
        <v>44418</v>
      </c>
      <c r="C51" s="1" t="s">
        <v>87</v>
      </c>
      <c r="D51" s="1" t="s">
        <v>132</v>
      </c>
      <c r="E51" s="1" t="s">
        <v>132</v>
      </c>
      <c r="F51" s="1" t="s">
        <v>99</v>
      </c>
      <c r="G51" s="2" t="s">
        <v>209</v>
      </c>
    </row>
    <row r="52" spans="1:8" ht="395" x14ac:dyDescent="0.2">
      <c r="A52" s="1">
        <v>203905</v>
      </c>
      <c r="B52" s="15">
        <v>44418</v>
      </c>
      <c r="C52" s="1" t="s">
        <v>87</v>
      </c>
      <c r="D52" s="1" t="s">
        <v>132</v>
      </c>
      <c r="E52" s="1" t="s">
        <v>132</v>
      </c>
      <c r="F52" s="1" t="s">
        <v>71</v>
      </c>
      <c r="G52" s="2" t="s">
        <v>210</v>
      </c>
    </row>
    <row r="53" spans="1:8" x14ac:dyDescent="0.2">
      <c r="A53" s="1">
        <v>203928</v>
      </c>
      <c r="B53" s="15">
        <v>44418</v>
      </c>
      <c r="C53" s="1" t="s">
        <v>73</v>
      </c>
      <c r="D53" s="1" t="s">
        <v>132</v>
      </c>
      <c r="E53" s="1" t="s">
        <v>132</v>
      </c>
      <c r="F53" s="1" t="s">
        <v>74</v>
      </c>
      <c r="G53" s="1" t="s">
        <v>212</v>
      </c>
      <c r="H53" s="1" t="s">
        <v>75</v>
      </c>
    </row>
    <row r="54" spans="1:8" x14ac:dyDescent="0.2">
      <c r="A54" s="1">
        <v>203928</v>
      </c>
      <c r="B54" s="15">
        <v>44418</v>
      </c>
      <c r="C54" s="1" t="s">
        <v>73</v>
      </c>
      <c r="D54" s="1" t="s">
        <v>132</v>
      </c>
      <c r="E54" s="1" t="s">
        <v>132</v>
      </c>
      <c r="F54" s="1" t="s">
        <v>74</v>
      </c>
      <c r="G54" s="1" t="s">
        <v>213</v>
      </c>
      <c r="H54" s="1" t="s">
        <v>75</v>
      </c>
    </row>
    <row r="55" spans="1:8" x14ac:dyDescent="0.2">
      <c r="A55" s="1">
        <v>203937</v>
      </c>
      <c r="B55" s="15">
        <v>44418</v>
      </c>
      <c r="C55" s="1" t="s">
        <v>78</v>
      </c>
      <c r="D55" s="1" t="s">
        <v>132</v>
      </c>
      <c r="E55" s="1" t="s">
        <v>132</v>
      </c>
      <c r="F55" s="1" t="s">
        <v>88</v>
      </c>
      <c r="G55" s="1" t="s">
        <v>215</v>
      </c>
      <c r="H55" s="1" t="s">
        <v>83</v>
      </c>
    </row>
    <row r="56" spans="1:8" x14ac:dyDescent="0.2">
      <c r="A56" s="1">
        <v>203937</v>
      </c>
      <c r="B56" s="15">
        <v>44418</v>
      </c>
      <c r="C56" s="1" t="s">
        <v>78</v>
      </c>
      <c r="D56" s="1" t="s">
        <v>132</v>
      </c>
      <c r="E56" s="1" t="s">
        <v>132</v>
      </c>
      <c r="F56" s="1" t="s">
        <v>71</v>
      </c>
      <c r="G56" s="1" t="s">
        <v>216</v>
      </c>
      <c r="H56" s="1" t="s">
        <v>217</v>
      </c>
    </row>
    <row r="57" spans="1:8" x14ac:dyDescent="0.2">
      <c r="A57" s="1">
        <v>203937</v>
      </c>
      <c r="B57" s="15">
        <v>44418</v>
      </c>
      <c r="C57" s="1" t="s">
        <v>78</v>
      </c>
      <c r="D57" s="1" t="s">
        <v>132</v>
      </c>
      <c r="E57" s="1" t="s">
        <v>132</v>
      </c>
      <c r="F57" s="1" t="s">
        <v>89</v>
      </c>
      <c r="G57" s="1" t="s">
        <v>218</v>
      </c>
      <c r="H57" s="1" t="s">
        <v>219</v>
      </c>
    </row>
    <row r="58" spans="1:8" x14ac:dyDescent="0.2">
      <c r="A58" s="1">
        <v>203937</v>
      </c>
      <c r="B58" s="15">
        <v>44418</v>
      </c>
      <c r="C58" s="1" t="s">
        <v>78</v>
      </c>
      <c r="D58" s="1" t="s">
        <v>132</v>
      </c>
      <c r="E58" s="1" t="s">
        <v>132</v>
      </c>
      <c r="F58" s="1" t="s">
        <v>99</v>
      </c>
      <c r="G58" s="1" t="s">
        <v>220</v>
      </c>
      <c r="H58" s="1" t="s">
        <v>83</v>
      </c>
    </row>
    <row r="59" spans="1:8" x14ac:dyDescent="0.2">
      <c r="A59" s="1">
        <v>203937</v>
      </c>
      <c r="B59" s="15">
        <v>44418</v>
      </c>
      <c r="C59" s="1" t="s">
        <v>78</v>
      </c>
      <c r="D59" s="1" t="s">
        <v>132</v>
      </c>
      <c r="E59" s="1" t="s">
        <v>132</v>
      </c>
      <c r="F59" s="1" t="s">
        <v>70</v>
      </c>
      <c r="G59" s="1" t="s">
        <v>221</v>
      </c>
      <c r="H59" s="1" t="s">
        <v>83</v>
      </c>
    </row>
    <row r="60" spans="1:8" x14ac:dyDescent="0.2">
      <c r="A60" s="1">
        <v>203937</v>
      </c>
      <c r="B60" s="15">
        <v>44418</v>
      </c>
      <c r="C60" s="1" t="s">
        <v>78</v>
      </c>
      <c r="D60" s="1" t="s">
        <v>132</v>
      </c>
      <c r="E60" s="1" t="s">
        <v>132</v>
      </c>
      <c r="F60" s="1" t="s">
        <v>69</v>
      </c>
      <c r="G60" s="1" t="s">
        <v>222</v>
      </c>
      <c r="H60" s="1" t="s">
        <v>83</v>
      </c>
    </row>
    <row r="61" spans="1:8" ht="304" x14ac:dyDescent="0.2">
      <c r="A61" s="1">
        <v>203939</v>
      </c>
      <c r="B61" s="15">
        <v>44418</v>
      </c>
      <c r="C61" s="1" t="s">
        <v>95</v>
      </c>
      <c r="D61" s="1" t="s">
        <v>132</v>
      </c>
      <c r="E61" s="1" t="s">
        <v>132</v>
      </c>
      <c r="F61" s="1" t="s">
        <v>74</v>
      </c>
      <c r="G61" s="2" t="s">
        <v>224</v>
      </c>
      <c r="H61" s="1" t="s">
        <v>75</v>
      </c>
    </row>
    <row r="62" spans="1:8" ht="409.6" x14ac:dyDescent="0.2">
      <c r="A62" s="1">
        <v>203939</v>
      </c>
      <c r="B62" s="15">
        <v>44418</v>
      </c>
      <c r="C62" s="1" t="s">
        <v>95</v>
      </c>
      <c r="D62" s="1" t="s">
        <v>132</v>
      </c>
      <c r="E62" s="1" t="s">
        <v>132</v>
      </c>
      <c r="F62" s="1" t="s">
        <v>96</v>
      </c>
      <c r="G62" s="2" t="s">
        <v>225</v>
      </c>
      <c r="H62" s="1" t="s">
        <v>226</v>
      </c>
    </row>
    <row r="63" spans="1:8" ht="176" x14ac:dyDescent="0.2">
      <c r="A63" s="1">
        <v>203939</v>
      </c>
      <c r="B63" s="15">
        <v>44418</v>
      </c>
      <c r="C63" s="1" t="s">
        <v>95</v>
      </c>
      <c r="D63" s="1" t="s">
        <v>132</v>
      </c>
      <c r="E63" s="1" t="s">
        <v>132</v>
      </c>
      <c r="F63" s="1" t="s">
        <v>88</v>
      </c>
      <c r="G63" s="2" t="s">
        <v>227</v>
      </c>
      <c r="H63" s="2" t="s">
        <v>228</v>
      </c>
    </row>
    <row r="64" spans="1:8" ht="320" x14ac:dyDescent="0.2">
      <c r="A64" s="1">
        <v>203939</v>
      </c>
      <c r="B64" s="15">
        <v>44418</v>
      </c>
      <c r="C64" s="1" t="s">
        <v>95</v>
      </c>
      <c r="D64" s="1" t="s">
        <v>132</v>
      </c>
      <c r="E64" s="1" t="s">
        <v>132</v>
      </c>
      <c r="F64" s="1" t="s">
        <v>80</v>
      </c>
      <c r="G64" s="2" t="s">
        <v>229</v>
      </c>
      <c r="H64" s="1" t="s">
        <v>230</v>
      </c>
    </row>
    <row r="65" spans="1:8" x14ac:dyDescent="0.2">
      <c r="A65" s="1">
        <v>203939</v>
      </c>
      <c r="B65" s="15">
        <v>44418</v>
      </c>
      <c r="C65" s="1" t="s">
        <v>95</v>
      </c>
      <c r="D65" s="1" t="s">
        <v>132</v>
      </c>
      <c r="E65" s="1" t="s">
        <v>132</v>
      </c>
      <c r="F65" s="1" t="s">
        <v>84</v>
      </c>
      <c r="G65" s="1" t="s">
        <v>231</v>
      </c>
      <c r="H65" s="1" t="s">
        <v>232</v>
      </c>
    </row>
    <row r="66" spans="1:8" x14ac:dyDescent="0.2">
      <c r="A66" s="1">
        <v>203939</v>
      </c>
      <c r="B66" s="15">
        <v>44418</v>
      </c>
      <c r="C66" s="1" t="s">
        <v>95</v>
      </c>
      <c r="D66" s="1" t="s">
        <v>132</v>
      </c>
      <c r="E66" s="1" t="s">
        <v>132</v>
      </c>
      <c r="F66" s="1" t="s">
        <v>77</v>
      </c>
      <c r="G66" s="1" t="s">
        <v>233</v>
      </c>
    </row>
    <row r="67" spans="1:8" x14ac:dyDescent="0.2">
      <c r="A67" s="1">
        <v>203939</v>
      </c>
      <c r="B67" s="15">
        <v>44418</v>
      </c>
      <c r="C67" s="1" t="s">
        <v>95</v>
      </c>
      <c r="D67" s="1" t="s">
        <v>132</v>
      </c>
      <c r="E67" s="1" t="s">
        <v>132</v>
      </c>
      <c r="F67" s="1" t="s">
        <v>82</v>
      </c>
      <c r="G67" s="1" t="s">
        <v>234</v>
      </c>
      <c r="H67" s="1" t="s">
        <v>235</v>
      </c>
    </row>
    <row r="68" spans="1:8" ht="409.6" x14ac:dyDescent="0.2">
      <c r="A68" s="1">
        <v>203939</v>
      </c>
      <c r="B68" s="15">
        <v>44418</v>
      </c>
      <c r="C68" s="1" t="s">
        <v>95</v>
      </c>
      <c r="D68" s="1" t="s">
        <v>132</v>
      </c>
      <c r="E68" s="1" t="s">
        <v>132</v>
      </c>
      <c r="F68" s="1" t="s">
        <v>128</v>
      </c>
      <c r="G68" s="2" t="s">
        <v>236</v>
      </c>
    </row>
    <row r="69" spans="1:8" ht="395" x14ac:dyDescent="0.2">
      <c r="A69" s="1">
        <v>203939</v>
      </c>
      <c r="B69" s="15">
        <v>44418</v>
      </c>
      <c r="C69" s="1" t="s">
        <v>95</v>
      </c>
      <c r="D69" s="1" t="s">
        <v>132</v>
      </c>
      <c r="E69" s="1" t="s">
        <v>132</v>
      </c>
      <c r="F69" s="1" t="s">
        <v>69</v>
      </c>
      <c r="G69" s="2" t="s">
        <v>237</v>
      </c>
    </row>
    <row r="70" spans="1:8" ht="409.6" x14ac:dyDescent="0.2">
      <c r="A70" s="1">
        <v>203939</v>
      </c>
      <c r="B70" s="15">
        <v>44418</v>
      </c>
      <c r="C70" s="1" t="s">
        <v>95</v>
      </c>
      <c r="D70" s="1" t="s">
        <v>132</v>
      </c>
      <c r="E70" s="1" t="s">
        <v>132</v>
      </c>
      <c r="F70" s="1" t="s">
        <v>81</v>
      </c>
      <c r="G70" s="2" t="s">
        <v>238</v>
      </c>
    </row>
    <row r="71" spans="1:8" ht="224" x14ac:dyDescent="0.2">
      <c r="A71" s="1">
        <v>203939</v>
      </c>
      <c r="B71" s="15">
        <v>44418</v>
      </c>
      <c r="C71" s="1" t="s">
        <v>95</v>
      </c>
      <c r="D71" s="1" t="s">
        <v>132</v>
      </c>
      <c r="E71" s="1" t="s">
        <v>132</v>
      </c>
      <c r="F71" s="1" t="s">
        <v>79</v>
      </c>
      <c r="G71" s="2" t="s">
        <v>239</v>
      </c>
    </row>
    <row r="72" spans="1:8" x14ac:dyDescent="0.2">
      <c r="A72" s="1">
        <v>203939</v>
      </c>
      <c r="B72" s="15">
        <v>44418</v>
      </c>
      <c r="C72" s="1" t="s">
        <v>95</v>
      </c>
      <c r="D72" s="1" t="s">
        <v>132</v>
      </c>
      <c r="E72" s="1" t="s">
        <v>132</v>
      </c>
      <c r="F72" s="1" t="s">
        <v>72</v>
      </c>
      <c r="G72" s="1" t="s">
        <v>240</v>
      </c>
    </row>
    <row r="73" spans="1:8" ht="176" x14ac:dyDescent="0.2">
      <c r="A73" s="1">
        <v>203939</v>
      </c>
      <c r="B73" s="15">
        <v>44418</v>
      </c>
      <c r="C73" s="1" t="s">
        <v>95</v>
      </c>
      <c r="D73" s="1" t="s">
        <v>132</v>
      </c>
      <c r="E73" s="1" t="s">
        <v>132</v>
      </c>
      <c r="F73" s="1" t="s">
        <v>89</v>
      </c>
      <c r="G73" s="2" t="s">
        <v>241</v>
      </c>
      <c r="H73" s="2" t="s">
        <v>242</v>
      </c>
    </row>
    <row r="74" spans="1:8" ht="208" x14ac:dyDescent="0.2">
      <c r="A74" s="1">
        <v>203939</v>
      </c>
      <c r="B74" s="15">
        <v>44418</v>
      </c>
      <c r="C74" s="1" t="s">
        <v>95</v>
      </c>
      <c r="D74" s="1" t="s">
        <v>132</v>
      </c>
      <c r="E74" s="1" t="s">
        <v>132</v>
      </c>
      <c r="F74" s="1" t="s">
        <v>91</v>
      </c>
      <c r="G74" s="2" t="s">
        <v>243</v>
      </c>
      <c r="H74" s="1" t="s">
        <v>244</v>
      </c>
    </row>
    <row r="75" spans="1:8" ht="409.6" x14ac:dyDescent="0.2">
      <c r="A75" s="1">
        <v>203939</v>
      </c>
      <c r="B75" s="15">
        <v>44418</v>
      </c>
      <c r="C75" s="1" t="s">
        <v>95</v>
      </c>
      <c r="D75" s="1" t="s">
        <v>132</v>
      </c>
      <c r="E75" s="1" t="s">
        <v>132</v>
      </c>
      <c r="F75" s="1" t="s">
        <v>86</v>
      </c>
      <c r="G75" s="2" t="s">
        <v>245</v>
      </c>
      <c r="H75" s="2" t="s">
        <v>246</v>
      </c>
    </row>
    <row r="76" spans="1:8" x14ac:dyDescent="0.2">
      <c r="A76" s="1">
        <v>203939</v>
      </c>
      <c r="B76" s="15">
        <v>44418</v>
      </c>
      <c r="C76" s="1" t="s">
        <v>95</v>
      </c>
      <c r="D76" s="1" t="s">
        <v>132</v>
      </c>
      <c r="E76" s="1" t="s">
        <v>132</v>
      </c>
      <c r="F76" s="1" t="s">
        <v>90</v>
      </c>
      <c r="G76" s="1" t="s">
        <v>247</v>
      </c>
    </row>
    <row r="77" spans="1:8" ht="409.6" x14ac:dyDescent="0.2">
      <c r="A77" s="1">
        <v>203939</v>
      </c>
      <c r="B77" s="15">
        <v>44418</v>
      </c>
      <c r="C77" s="1" t="s">
        <v>95</v>
      </c>
      <c r="D77" s="1" t="s">
        <v>132</v>
      </c>
      <c r="E77" s="1" t="s">
        <v>132</v>
      </c>
      <c r="F77" s="1" t="s">
        <v>99</v>
      </c>
      <c r="G77" s="2" t="s">
        <v>248</v>
      </c>
    </row>
    <row r="78" spans="1:8" ht="409.6" x14ac:dyDescent="0.2">
      <c r="A78" s="1">
        <v>203939</v>
      </c>
      <c r="B78" s="15">
        <v>44418</v>
      </c>
      <c r="C78" s="1" t="s">
        <v>95</v>
      </c>
      <c r="D78" s="1" t="s">
        <v>132</v>
      </c>
      <c r="E78" s="1" t="s">
        <v>132</v>
      </c>
      <c r="F78" s="1" t="s">
        <v>71</v>
      </c>
      <c r="G78" s="2" t="s">
        <v>249</v>
      </c>
      <c r="H78" s="2" t="s">
        <v>250</v>
      </c>
    </row>
    <row r="79" spans="1:8" x14ac:dyDescent="0.2">
      <c r="A79" s="1">
        <v>203945</v>
      </c>
      <c r="B79" s="15">
        <v>44418</v>
      </c>
      <c r="C79" s="1" t="s">
        <v>114</v>
      </c>
      <c r="D79" s="1" t="s">
        <v>132</v>
      </c>
      <c r="E79" s="1" t="s">
        <v>132</v>
      </c>
      <c r="F79" s="1" t="s">
        <v>90</v>
      </c>
      <c r="G79" s="1" t="s">
        <v>252</v>
      </c>
      <c r="H79" s="1" t="s">
        <v>115</v>
      </c>
    </row>
    <row r="80" spans="1:8" ht="288" x14ac:dyDescent="0.2">
      <c r="A80" s="1">
        <v>204005</v>
      </c>
      <c r="B80" s="15">
        <v>44418</v>
      </c>
      <c r="C80" s="1" t="s">
        <v>103</v>
      </c>
      <c r="D80" s="1" t="s">
        <v>132</v>
      </c>
      <c r="E80" s="1" t="s">
        <v>132</v>
      </c>
      <c r="F80" s="1" t="s">
        <v>80</v>
      </c>
      <c r="G80" s="2" t="s">
        <v>254</v>
      </c>
      <c r="H80" s="2" t="s">
        <v>254</v>
      </c>
    </row>
    <row r="81" spans="1:8" ht="409.6" x14ac:dyDescent="0.2">
      <c r="A81" s="1">
        <v>204005</v>
      </c>
      <c r="B81" s="15">
        <v>44418</v>
      </c>
      <c r="C81" s="1" t="s">
        <v>103</v>
      </c>
      <c r="D81" s="1" t="s">
        <v>132</v>
      </c>
      <c r="E81" s="1" t="s">
        <v>132</v>
      </c>
      <c r="F81" s="1" t="s">
        <v>88</v>
      </c>
      <c r="G81" s="2" t="s">
        <v>255</v>
      </c>
      <c r="H81" s="2" t="s">
        <v>255</v>
      </c>
    </row>
    <row r="82" spans="1:8" x14ac:dyDescent="0.2">
      <c r="A82" s="1">
        <v>204005</v>
      </c>
      <c r="B82" s="15">
        <v>44418</v>
      </c>
      <c r="C82" s="1" t="s">
        <v>103</v>
      </c>
      <c r="D82" s="1" t="s">
        <v>132</v>
      </c>
      <c r="E82" s="1" t="s">
        <v>132</v>
      </c>
      <c r="F82" s="1" t="s">
        <v>77</v>
      </c>
      <c r="G82" s="1" t="s">
        <v>256</v>
      </c>
      <c r="H82" s="1" t="s">
        <v>256</v>
      </c>
    </row>
    <row r="83" spans="1:8" x14ac:dyDescent="0.2">
      <c r="A83" s="1">
        <v>204013</v>
      </c>
      <c r="B83" s="15">
        <v>44418</v>
      </c>
      <c r="C83" s="1" t="s">
        <v>114</v>
      </c>
      <c r="D83" s="1" t="s">
        <v>132</v>
      </c>
      <c r="E83" s="1" t="s">
        <v>132</v>
      </c>
      <c r="F83" s="1" t="s">
        <v>74</v>
      </c>
      <c r="G83" s="1" t="s">
        <v>112</v>
      </c>
      <c r="H83" s="1" t="s">
        <v>112</v>
      </c>
    </row>
    <row r="84" spans="1:8" x14ac:dyDescent="0.2">
      <c r="A84" s="1">
        <v>204033</v>
      </c>
      <c r="B84" s="15">
        <v>44418</v>
      </c>
      <c r="C84" s="1" t="s">
        <v>109</v>
      </c>
      <c r="D84" s="1" t="s">
        <v>132</v>
      </c>
      <c r="E84" s="1" t="s">
        <v>132</v>
      </c>
      <c r="F84" s="1" t="s">
        <v>74</v>
      </c>
      <c r="G84" s="1">
        <v>0</v>
      </c>
      <c r="H84" s="1">
        <v>0</v>
      </c>
    </row>
    <row r="85" spans="1:8" x14ac:dyDescent="0.2">
      <c r="A85" s="1">
        <v>204084</v>
      </c>
      <c r="B85" s="15">
        <v>44418</v>
      </c>
      <c r="C85" s="1" t="s">
        <v>108</v>
      </c>
      <c r="D85" s="1" t="s">
        <v>132</v>
      </c>
      <c r="E85" s="1" t="s">
        <v>132</v>
      </c>
      <c r="F85" s="1" t="s">
        <v>86</v>
      </c>
      <c r="G85" s="1" t="s">
        <v>261</v>
      </c>
      <c r="H85" s="1" t="s">
        <v>75</v>
      </c>
    </row>
    <row r="86" spans="1:8" x14ac:dyDescent="0.2">
      <c r="A86" s="1">
        <v>204084</v>
      </c>
      <c r="B86" s="15">
        <v>44418</v>
      </c>
      <c r="C86" s="1" t="s">
        <v>108</v>
      </c>
      <c r="D86" s="1" t="s">
        <v>132</v>
      </c>
      <c r="E86" s="1" t="s">
        <v>132</v>
      </c>
      <c r="F86" s="1" t="s">
        <v>91</v>
      </c>
      <c r="G86" s="1" t="s">
        <v>262</v>
      </c>
      <c r="H86" s="1" t="s">
        <v>263</v>
      </c>
    </row>
    <row r="87" spans="1:8" x14ac:dyDescent="0.2">
      <c r="A87" s="1">
        <v>204084</v>
      </c>
      <c r="B87" s="15">
        <v>44418</v>
      </c>
      <c r="C87" s="1" t="s">
        <v>108</v>
      </c>
      <c r="D87" s="1" t="s">
        <v>132</v>
      </c>
      <c r="E87" s="1" t="s">
        <v>132</v>
      </c>
      <c r="F87" s="1" t="s">
        <v>71</v>
      </c>
      <c r="G87" s="1" t="s">
        <v>264</v>
      </c>
    </row>
    <row r="88" spans="1:8" x14ac:dyDescent="0.2">
      <c r="A88" s="1">
        <v>204110</v>
      </c>
      <c r="B88" s="15">
        <v>44418</v>
      </c>
      <c r="C88" s="1" t="s">
        <v>106</v>
      </c>
      <c r="D88" s="1" t="s">
        <v>132</v>
      </c>
      <c r="E88" s="1" t="s">
        <v>132</v>
      </c>
      <c r="F88" s="1" t="s">
        <v>79</v>
      </c>
      <c r="G88" s="1" t="s">
        <v>266</v>
      </c>
      <c r="H88" s="1" t="s">
        <v>267</v>
      </c>
    </row>
    <row r="89" spans="1:8" x14ac:dyDescent="0.2">
      <c r="A89" s="1">
        <v>204113</v>
      </c>
      <c r="B89" s="15">
        <v>44418</v>
      </c>
      <c r="C89" s="1" t="s">
        <v>92</v>
      </c>
      <c r="D89" s="1" t="s">
        <v>132</v>
      </c>
      <c r="E89" s="1" t="s">
        <v>132</v>
      </c>
      <c r="F89" s="1" t="s">
        <v>69</v>
      </c>
      <c r="G89" s="1" t="s">
        <v>75</v>
      </c>
      <c r="H89" s="1" t="s">
        <v>75</v>
      </c>
    </row>
    <row r="90" spans="1:8" x14ac:dyDescent="0.2">
      <c r="A90" s="1">
        <v>204126</v>
      </c>
      <c r="B90" s="15">
        <v>44418</v>
      </c>
      <c r="C90" s="1" t="s">
        <v>104</v>
      </c>
      <c r="D90" s="1" t="s">
        <v>132</v>
      </c>
      <c r="E90" s="1" t="s">
        <v>132</v>
      </c>
      <c r="F90" s="1" t="s">
        <v>69</v>
      </c>
      <c r="G90" s="1" t="s">
        <v>75</v>
      </c>
      <c r="H90" s="1" t="s">
        <v>75</v>
      </c>
    </row>
    <row r="91" spans="1:8" x14ac:dyDescent="0.2">
      <c r="A91" s="1">
        <v>204139</v>
      </c>
      <c r="B91" s="15">
        <v>44418</v>
      </c>
      <c r="C91" s="1" t="s">
        <v>117</v>
      </c>
      <c r="D91" s="1" t="s">
        <v>132</v>
      </c>
      <c r="E91" s="1" t="s">
        <v>132</v>
      </c>
      <c r="F91" s="1" t="s">
        <v>79</v>
      </c>
      <c r="G91" s="1" t="s">
        <v>271</v>
      </c>
      <c r="H91" s="1" t="s">
        <v>75</v>
      </c>
    </row>
    <row r="92" spans="1:8" x14ac:dyDescent="0.2">
      <c r="A92" s="1">
        <v>204139</v>
      </c>
      <c r="B92" s="15">
        <v>44418</v>
      </c>
      <c r="C92" s="1" t="s">
        <v>117</v>
      </c>
      <c r="D92" s="1" t="s">
        <v>132</v>
      </c>
      <c r="E92" s="1" t="s">
        <v>132</v>
      </c>
      <c r="F92" s="1" t="s">
        <v>98</v>
      </c>
      <c r="G92" s="1" t="s">
        <v>272</v>
      </c>
      <c r="H92" s="1" t="s">
        <v>75</v>
      </c>
    </row>
    <row r="93" spans="1:8" x14ac:dyDescent="0.2">
      <c r="A93" s="1">
        <v>204139</v>
      </c>
      <c r="B93" s="15">
        <v>44418</v>
      </c>
      <c r="C93" s="1" t="s">
        <v>117</v>
      </c>
      <c r="D93" s="1" t="s">
        <v>132</v>
      </c>
      <c r="E93" s="1" t="s">
        <v>132</v>
      </c>
      <c r="F93" s="1" t="s">
        <v>69</v>
      </c>
      <c r="G93" s="1" t="s">
        <v>273</v>
      </c>
      <c r="H93" s="1" t="s">
        <v>274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H72"/>
  <sheetViews>
    <sheetView tabSelected="1" workbookViewId="0">
      <selection activeCell="D15" sqref="D15"/>
    </sheetView>
  </sheetViews>
  <sheetFormatPr baseColWidth="10" defaultRowHeight="15" x14ac:dyDescent="0.2"/>
  <cols>
    <col min="2" max="2" width="11.1640625" style="8" bestFit="1" customWidth="1"/>
    <col min="4" max="4" width="65.5" customWidth="1"/>
    <col min="5" max="5" width="12.5" style="10" customWidth="1"/>
    <col min="6" max="6" width="35.33203125" customWidth="1"/>
    <col min="7" max="7" width="34.83203125" customWidth="1"/>
    <col min="8" max="8" width="41.1640625" customWidth="1"/>
  </cols>
  <sheetData>
    <row r="1" spans="1:8" s="5" customFormat="1" x14ac:dyDescent="0.2">
      <c r="A1" s="6" t="s">
        <v>119</v>
      </c>
      <c r="B1" s="7" t="s">
        <v>120</v>
      </c>
      <c r="C1" s="6" t="s">
        <v>126</v>
      </c>
      <c r="D1" s="6" t="s">
        <v>121</v>
      </c>
      <c r="E1" s="9" t="s">
        <v>127</v>
      </c>
      <c r="F1" s="6" t="s">
        <v>118</v>
      </c>
      <c r="G1" s="6" t="s">
        <v>122</v>
      </c>
      <c r="H1" s="6" t="s">
        <v>123</v>
      </c>
    </row>
    <row r="2" spans="1:8" x14ac:dyDescent="0.2">
      <c r="A2">
        <f>+Hoja2!A23</f>
        <v>203830</v>
      </c>
      <c r="B2" s="8">
        <f>+Hoja2!B2</f>
        <v>44418</v>
      </c>
      <c r="C2">
        <f>+VLOOKUP(D2,DepMaster!$B:$C,2,FALSE)</f>
        <v>724</v>
      </c>
      <c r="D2" t="str">
        <f>+Hoja2!C23</f>
        <v>Secretaría de la Juventud</v>
      </c>
      <c r="E2" s="10" t="str">
        <f>+MID(Hoja2!F23,1,2)</f>
        <v>50</v>
      </c>
      <c r="F2" t="str">
        <f>+MID(Hoja2!F23,4,20)</f>
        <v>PALMITAS</v>
      </c>
      <c r="G2" t="str">
        <f>+Hoja2!G23</f>
        <v>8 de octubre: Desarrollo del proyecto Medellín en la Cabeza y su temática Memoria Joven RURAL</v>
      </c>
      <c r="H2" t="str">
        <f>+Hoja2!H23</f>
        <v>Se espera contar con la participación de 50 jóvenes.</v>
      </c>
    </row>
    <row r="3" spans="1:8" x14ac:dyDescent="0.2">
      <c r="A3">
        <f>+Hoja2!A24</f>
        <v>203830</v>
      </c>
      <c r="B3" s="8">
        <f>+Hoja2!B3</f>
        <v>44418</v>
      </c>
      <c r="C3">
        <f>+VLOOKUP(D3,DepMaster!$B:$C,2,FALSE)</f>
        <v>724</v>
      </c>
      <c r="D3" t="str">
        <f>+Hoja2!C24</f>
        <v>Secretaría de la Juventud</v>
      </c>
      <c r="E3" s="10" t="str">
        <f>+MID(Hoja2!F24,1,2)</f>
        <v>03</v>
      </c>
      <c r="F3" t="str">
        <f>+MID(Hoja2!F24,4,20)</f>
        <v>MANRIQUE</v>
      </c>
      <c r="G3" t="str">
        <f>+Hoja2!G24</f>
        <v>6 de octubre: espacio de formación dinámica con estudiantes del programa Líderes San Lorenzanos, que responde a plan de trabajo priorizado con la Institución.</v>
      </c>
      <c r="H3" t="str">
        <f>+Hoja2!H24</f>
        <v>Se espera contar con la participación de 20 jóvenes.</v>
      </c>
    </row>
    <row r="4" spans="1:8" x14ac:dyDescent="0.2">
      <c r="A4">
        <f>+Hoja2!A25</f>
        <v>203830</v>
      </c>
      <c r="B4" s="8">
        <f>+Hoja2!B4</f>
        <v>44418</v>
      </c>
      <c r="C4">
        <f>+VLOOKUP(D4,DepMaster!$B:$C,2,FALSE)</f>
        <v>724</v>
      </c>
      <c r="D4" t="str">
        <f>+Hoja2!C25</f>
        <v>Secretaría de la Juventud</v>
      </c>
      <c r="E4" s="10" t="str">
        <f>+MID(Hoja2!F25,1,2)</f>
        <v>03</v>
      </c>
      <c r="F4" t="str">
        <f>+MID(Hoja2!F25,4,20)</f>
        <v>MANRIQUE</v>
      </c>
      <c r="G4" t="str">
        <f>+Hoja2!G25</f>
        <v xml:space="preserve"> Espacio de formación dinámica con estudiantes del grado once, que responde a plan de trabajo priorizado con la Institución.      </v>
      </c>
      <c r="H4" t="str">
        <f>+Hoja2!H25</f>
        <v>6 de octubre: Se espera contar con la participación de 30 jóvenes.</v>
      </c>
    </row>
    <row r="5" spans="1:8" x14ac:dyDescent="0.2">
      <c r="A5">
        <f>+Hoja2!A26</f>
        <v>203830</v>
      </c>
      <c r="B5" s="8">
        <f>+Hoja2!B5</f>
        <v>44418</v>
      </c>
      <c r="C5">
        <f>+VLOOKUP(D5,DepMaster!$B:$C,2,FALSE)</f>
        <v>724</v>
      </c>
      <c r="D5" t="str">
        <f>+Hoja2!C26</f>
        <v>Secretaría de la Juventud</v>
      </c>
      <c r="E5" s="10" t="str">
        <f>+MID(Hoja2!F26,1,2)</f>
        <v>10</v>
      </c>
      <c r="F5" t="str">
        <f>+MID(Hoja2!F26,4,20)</f>
        <v>LA CANDELARIA</v>
      </c>
      <c r="G5" t="str">
        <f>+Hoja2!G26</f>
        <v>6 de octubre: Realizar un recorrido ambiental dentro de las instalaciones del Museo del agua EPM en donde los asistentes encontraran estaciones de interacción con el recurso hídricos, ciclos del agua y problemáticas por el abastecimiento y acceso a la misma</v>
      </c>
      <c r="H5" t="str">
        <f>+Hoja2!H26</f>
        <v>Se espera contar con la participación de 30 jóvenes.</v>
      </c>
    </row>
    <row r="6" spans="1:8" x14ac:dyDescent="0.2">
      <c r="A6">
        <f>+Hoja2!A27</f>
        <v>203830</v>
      </c>
      <c r="B6" s="8">
        <f>+Hoja2!B6</f>
        <v>44418</v>
      </c>
      <c r="C6">
        <f>+VLOOKUP(D6,DepMaster!$B:$C,2,FALSE)</f>
        <v>724</v>
      </c>
      <c r="D6" t="str">
        <f>+Hoja2!C27</f>
        <v>Secretaría de la Juventud</v>
      </c>
      <c r="E6" s="10" t="str">
        <f>+MID(Hoja2!F27,1,2)</f>
        <v>16</v>
      </c>
      <c r="F6" t="str">
        <f>+MID(Hoja2!F27,4,20)</f>
        <v>BELEN</v>
      </c>
      <c r="G6" t="str">
        <f>+Hoja2!G27</f>
        <v>5 de octubre: Encuentro Zafra. Definir estrategias con el programa Hábitat Joven, para el desarrollar actividades en promoción del cuidado al medio ambiente	.</v>
      </c>
      <c r="H6" t="str">
        <f>+Hoja2!H27</f>
        <v>Se contó con la participación de 10 jóvenes.</v>
      </c>
    </row>
    <row r="7" spans="1:8" x14ac:dyDescent="0.2">
      <c r="A7">
        <f>+Hoja2!A28</f>
        <v>203830</v>
      </c>
      <c r="B7" s="8">
        <f>+Hoja2!B7</f>
        <v>44418</v>
      </c>
      <c r="C7">
        <f>+VLOOKUP(D7,DepMaster!$B:$C,2,FALSE)</f>
        <v>724</v>
      </c>
      <c r="D7" t="str">
        <f>+Hoja2!C28</f>
        <v>Secretaría de la Juventud</v>
      </c>
      <c r="E7" s="10" t="str">
        <f>+MID(Hoja2!F28,1,2)</f>
        <v>70</v>
      </c>
      <c r="F7" t="str">
        <f>+MID(Hoja2!F28,4,20)</f>
        <v>ALTAVISTA</v>
      </c>
      <c r="G7" t="str">
        <f>+Hoja2!G28</f>
        <v xml:space="preserve">Inicio al ciclo de acompañamientos en salud mental y manejo de las emociones a estudiantes </v>
      </c>
      <c r="H7" t="str">
        <f>+Hoja2!H28</f>
        <v>Se contó con la participación de 20 jóvenes.</v>
      </c>
    </row>
    <row r="8" spans="1:8" x14ac:dyDescent="0.2">
      <c r="A8">
        <f>+Hoja2!A29</f>
        <v>203831</v>
      </c>
      <c r="B8" s="8">
        <f>+Hoja2!B8</f>
        <v>44418</v>
      </c>
      <c r="C8">
        <f>+VLOOKUP(D8,DepMaster!$B:$C,2,FALSE)</f>
        <v>723</v>
      </c>
      <c r="D8" t="str">
        <f>+Hoja2!C29</f>
        <v>Secretaría de las Mujeres</v>
      </c>
      <c r="E8" s="10" t="str">
        <f>+MID(Hoja2!F29,1,2)</f>
        <v>13</v>
      </c>
      <c r="F8" t="str">
        <f>+MID(Hoja2!F29,4,20)</f>
        <v>SAN JAVIER</v>
      </c>
      <c r="G8" t="str">
        <f>+Hoja2!G29</f>
        <v>1 de octubre: 43 agentes educativos de la Comuna 13 aclararon dudas en relación con las diferencias que existen entre escuela mixta y escuela coeducativa, lo que contribuye en la transformación de imaginarios culturales sexistas dentro del ámbito educativo.</v>
      </c>
      <c r="H8" t="str">
        <f>+Hoja2!H29</f>
        <v>.</v>
      </c>
    </row>
    <row r="9" spans="1:8" x14ac:dyDescent="0.2">
      <c r="A9">
        <f>+Hoja2!A30</f>
        <v>203863</v>
      </c>
      <c r="B9" s="8">
        <f>+Hoja2!B9</f>
        <v>44418</v>
      </c>
      <c r="C9">
        <f>+VLOOKUP(D9,DepMaster!$B:$C,2,FALSE)</f>
        <v>743</v>
      </c>
      <c r="D9" t="str">
        <f>+Hoja2!C30</f>
        <v>Secretaría de Movilidad</v>
      </c>
      <c r="E9" s="10" t="str">
        <f>+MID(Hoja2!F30,1,2)</f>
        <v>10</v>
      </c>
      <c r="F9" t="str">
        <f>+MID(Hoja2!F30,4,20)</f>
        <v>LA CANDELARIA</v>
      </c>
      <c r="G9" t="str">
        <f>+Hoja2!G30</f>
        <v xml:space="preserve">Se reinició el procedimiento para definir responsabilidad por el código de infracción D12 "Conducir un vehículo que, sin la debida autorización, se destine a un servicio diferente de aquel para el cual tiene licencia de tránsito. Además, el vehículo será inmovilizado por primera vez, por el término de cinco días, por segunda vez veinte días y por tercera vez cuarenta días". 	 
Consolidación y socialización con los directivos de la Secretaría de Movilidad del Plan Anual de Adquisiciones 2022
Se continuará con el análisis de las experiencias internacionales similares a lo que se busca lograr con la política pública de movilidad sostenible.
Se realizará la generación de script para automatizar monitoreo de eventos, también se llevará a cabo la reunión con Metro para puesta en común de eventos a recibir y metodología tecnología a implementar, se realizará la prueba técnica para la recepción de datos de todas las cámaras LPR y se dará solución al problema de almacenamiento servidores Big Data de CITRA.
Se socializará dentro del grupo No.2 la experiencia obtenida en vehículos de tecnologías limpias por parte de Metro y se socializará por parte de la Universidad de Antioquia su experiencia con el estudio de buses eléctricos en la ciudad.
Se llevó a cabo la Audiencia de Adjudicación del Contrato de Obra de Señalización Vial.	
Se publicó Acta de Adjudicación para los Contratos de Obra e Interventoría de Señalización Vial.	
Se está estructurando la programación de actividades a ejecutar con el contrato de Señalización Vial.
Con las intervenciones en sectores de mayor riesgo de incidentalidad en la ciudad se logró durante esta semana intervenir un total de 6.528 personas, en lo que va del año la cifra es de 62.525 personas.	
Se realizaron puntos pedagógicos durante el primer fin de semana del mes de octubre en el corregimiento de Palmitas en articulación con la EDU, en dicha actividad se logó impactar un total de 100 personas	
Participación en jornada de puntos ciegos para motociclistas en el peaje Vía occidente de manera articulada con la concesión Devimar en la cual se sensibilizaron un total de 57 personas.	
Se participó de la Fiesta del Libro y La Cultura con sensibilizaciones itinerantes con agentes infantiles de tránsito y sketch teatral de Visión Cero con gran acogida por los asistentes y un total de 1.571 personas sensibilizadas.
</v>
      </c>
      <c r="H9" t="str">
        <f>+Hoja2!H30</f>
        <v>.</v>
      </c>
    </row>
    <row r="10" spans="1:8" x14ac:dyDescent="0.2">
      <c r="A10">
        <f>+Hoja2!A31</f>
        <v>203880</v>
      </c>
      <c r="B10" s="8">
        <f>+Hoja2!B10</f>
        <v>44418</v>
      </c>
      <c r="C10">
        <f>+VLOOKUP(D10,DepMaster!$B:$C,2,FALSE)</f>
        <v>703</v>
      </c>
      <c r="D10" t="str">
        <f>+Hoja2!C31</f>
        <v>Secretaría de Evaluación y Control</v>
      </c>
      <c r="E10" s="10" t="str">
        <f>+MID(Hoja2!F31,1,2)</f>
        <v>01</v>
      </c>
      <c r="F10" t="str">
        <f>+MID(Hoja2!F31,4,20)</f>
        <v>POPULAR</v>
      </c>
      <c r="G10" t="str">
        <f>+Hoja2!G31</f>
        <v>-</v>
      </c>
      <c r="H10" t="str">
        <f>+Hoja2!H31</f>
        <v>-</v>
      </c>
    </row>
    <row r="11" spans="1:8" x14ac:dyDescent="0.2">
      <c r="A11">
        <f>+Hoja2!A32</f>
        <v>203905</v>
      </c>
      <c r="B11" s="8">
        <f>+Hoja2!B11</f>
        <v>44418</v>
      </c>
      <c r="C11">
        <f>+VLOOKUP(D11,DepMaster!$B:$C,2,FALSE)</f>
        <v>742</v>
      </c>
      <c r="D11" t="str">
        <f>+Hoja2!C32</f>
        <v>Secretaría de Medio Ambiente</v>
      </c>
      <c r="E11" s="10" t="str">
        <f>+MID(Hoja2!F32,1,2)</f>
        <v>01</v>
      </c>
      <c r="F11" t="str">
        <f>+MID(Hoja2!F32,4,20)</f>
        <v>POPULAR</v>
      </c>
      <c r="G11" t="str">
        <f>+Hoja2!G32</f>
        <v>-Intervención Paisajística en la Quebrada La Moscú Carrera 42C No. 101B 30 Interior 103 Comuna 2: Mantenimiento de jardines y árboles en la Quebrada Juan Bobo Carrera 49 B Calle 105.
-Actividad: rescate de caninos 4 y felinos 2, en los barrios: Granizal, Popular y Santo Domingo
animales atendidos: 6</v>
      </c>
      <c r="H11" t="str">
        <f>+Hoja2!H32</f>
        <v>animales atendidos: 6</v>
      </c>
    </row>
    <row r="12" spans="1:8" x14ac:dyDescent="0.2">
      <c r="A12">
        <f>+Hoja2!A33</f>
        <v>203905</v>
      </c>
      <c r="B12" s="8">
        <f>+Hoja2!B12</f>
        <v>44418</v>
      </c>
      <c r="C12">
        <f>+VLOOKUP(D12,DepMaster!$B:$C,2,FALSE)</f>
        <v>742</v>
      </c>
      <c r="D12" t="str">
        <f>+Hoja2!C33</f>
        <v>Secretaría de Medio Ambiente</v>
      </c>
      <c r="E12" s="10" t="str">
        <f>+MID(Hoja2!F33,1,2)</f>
        <v>02</v>
      </c>
      <c r="F12" t="str">
        <f>+MID(Hoja2!F33,4,20)</f>
        <v>SANTA CRUZ</v>
      </c>
      <c r="G12" t="str">
        <f>+Hoja2!G33</f>
        <v>-Sector La Isla Intervención Puntual asociada a punto crítico. 
Logro: Sostenibilidad del espacio intervenido. 
Indicadores: 
Limpieza zona verde: 100 m2, 
Retiro de publicidad: 14 postes, 
Pintura parque infantil: 12 módulos.  
Recurso impactado: Recurso Hídrico, Aire.
-Actividad: se rescata 1 canino, en el barrio, Villa del Socorro
Animales atendidos: 1</v>
      </c>
      <c r="H12" t="str">
        <f>+Hoja2!H33</f>
        <v>Animales atendidos: 1</v>
      </c>
    </row>
    <row r="13" spans="1:8" x14ac:dyDescent="0.2">
      <c r="A13">
        <f>+Hoja2!A34</f>
        <v>203905</v>
      </c>
      <c r="B13" s="8">
        <f>+Hoja2!B13</f>
        <v>44418</v>
      </c>
      <c r="C13">
        <f>+VLOOKUP(D13,DepMaster!$B:$C,2,FALSE)</f>
        <v>742</v>
      </c>
      <c r="D13" t="str">
        <f>+Hoja2!C34</f>
        <v>Secretaría de Medio Ambiente</v>
      </c>
      <c r="E13" s="10" t="str">
        <f>+MID(Hoja2!F34,1,2)</f>
        <v>03</v>
      </c>
      <c r="F13" t="str">
        <f>+MID(Hoja2!F34,4,20)</f>
        <v>MANRIQUE</v>
      </c>
      <c r="G13" t="str">
        <f>+Hoja2!G34</f>
        <v>-Sector La Graciela.  Intervención Puntual asociada a punto crítico. 
Logro: Sostenibilidad del espacio intervenido. 
Indicadores: 
Rocería :200m2
Recolección de RCD: 5 m3
Recolección de voluminosos: 3 m3
Pintura de pasamanos: 50 m2. 
Recurso impactado: Recurso Hídrico, Aire.
-Intervenciones Paisajísticas en la Quebradas La Bermejala (Carrera 36 con calle 91) La Tebaida (Calle 84 con carrera 39 hasta la Calle 86AD con carrera 36),  El Molino (Carrera 47 #74-20) y La Honda (Calle 71AA entre carrera 42 y 43 y calle 71 con carrera 47).
-Actividad: se rescata 1 canino, en el barrio,  la Honda
Animales atendidos: 1</v>
      </c>
      <c r="H13" t="str">
        <f>+Hoja2!H34</f>
        <v>Animales atendidos: 1</v>
      </c>
    </row>
    <row r="14" spans="1:8" x14ac:dyDescent="0.2">
      <c r="A14">
        <f>+Hoja2!A35</f>
        <v>203905</v>
      </c>
      <c r="B14" s="8">
        <f>+Hoja2!B14</f>
        <v>44418</v>
      </c>
      <c r="C14">
        <f>+VLOOKUP(D14,DepMaster!$B:$C,2,FALSE)</f>
        <v>742</v>
      </c>
      <c r="D14" t="str">
        <f>+Hoja2!C35</f>
        <v>Secretaría de Medio Ambiente</v>
      </c>
      <c r="E14" s="10" t="str">
        <f>+MID(Hoja2!F35,1,2)</f>
        <v>04</v>
      </c>
      <c r="F14" t="str">
        <f>+MID(Hoja2!F35,4,20)</f>
        <v>ARANJUEZ</v>
      </c>
      <c r="G14" t="str">
        <f>+Hoja2!G35</f>
        <v xml:space="preserve">-Actividad: Esterilizaciones entre caninos y felinos.
Animales atendidos: 113
-Actividad: se implanta el microchip a caninos y felinos 
Animales atendidos: 116
</v>
      </c>
      <c r="H14">
        <f>+Hoja2!H35</f>
        <v>0</v>
      </c>
    </row>
    <row r="15" spans="1:8" x14ac:dyDescent="0.2">
      <c r="A15">
        <f>+Hoja2!A36</f>
        <v>203905</v>
      </c>
      <c r="B15" s="8">
        <f>+Hoja2!B15</f>
        <v>44418</v>
      </c>
      <c r="C15">
        <f>+VLOOKUP(D15,DepMaster!$B:$C,2,FALSE)</f>
        <v>742</v>
      </c>
      <c r="D15" t="str">
        <f>+Hoja2!C36</f>
        <v>Secretaría de Medio Ambiente</v>
      </c>
      <c r="E15" s="10" t="str">
        <f>+MID(Hoja2!F36,1,2)</f>
        <v>05</v>
      </c>
      <c r="F15" t="str">
        <f>+MID(Hoja2!F36,4,20)</f>
        <v>CASTILLA</v>
      </c>
      <c r="G15" t="str">
        <f>+Hoja2!G36</f>
        <v xml:space="preserve">-Con cuadrilla de obreros de Cobertura se realizaron de actividades de mantenimiento en Caño La Feria o La Toscana, Comuna 5, sector Autopista Norte-Feria de Ganados, se realizaron actividades de desobstrucción de estructura hidráulica, mediante la extracción de 20 metros cúbicos de sedimentos.
</v>
      </c>
      <c r="H15">
        <f>+Hoja2!H36</f>
        <v>0</v>
      </c>
    </row>
    <row r="16" spans="1:8" x14ac:dyDescent="0.2">
      <c r="A16">
        <f>+Hoja2!A37</f>
        <v>203905</v>
      </c>
      <c r="B16" s="8">
        <f>+Hoja2!B16</f>
        <v>44418</v>
      </c>
      <c r="C16">
        <f>+VLOOKUP(D16,DepMaster!$B:$C,2,FALSE)</f>
        <v>742</v>
      </c>
      <c r="D16" t="str">
        <f>+Hoja2!C37</f>
        <v>Secretaría de Medio Ambiente</v>
      </c>
      <c r="E16" s="10" t="str">
        <f>+MID(Hoja2!F37,1,2)</f>
        <v>06</v>
      </c>
      <c r="F16" t="str">
        <f>+MID(Hoja2!F37,4,20)</f>
        <v>DOCE DE OCTUBRE</v>
      </c>
      <c r="G16" t="str">
        <f>+Hoja2!G37</f>
        <v>-Mantenimiento preventivo y curativo a los árboles con declaratoria de patrimonio cultural arbóreo, visita de diagnóstico en la comuna 6 (1 árbol).</v>
      </c>
      <c r="H16">
        <f>+Hoja2!H37</f>
        <v>0</v>
      </c>
    </row>
    <row r="17" spans="1:8" x14ac:dyDescent="0.2">
      <c r="A17">
        <f>+Hoja2!A38</f>
        <v>203905</v>
      </c>
      <c r="B17" s="8">
        <f>+Hoja2!B17</f>
        <v>44418</v>
      </c>
      <c r="C17">
        <f>+VLOOKUP(D17,DepMaster!$B:$C,2,FALSE)</f>
        <v>742</v>
      </c>
      <c r="D17" t="str">
        <f>+Hoja2!C38</f>
        <v>Secretaría de Medio Ambiente</v>
      </c>
      <c r="E17" s="10" t="str">
        <f>+MID(Hoja2!F38,1,2)</f>
        <v>07</v>
      </c>
      <c r="F17" t="str">
        <f>+MID(Hoja2!F38,4,20)</f>
        <v>ROBLEDO</v>
      </c>
      <c r="G17" t="str">
        <f>+Hoja2!G38</f>
        <v>-Prevención y mitigación de riesgos derivados de árboles: 2 talas en la comuna 7.
Actividad: rescate de 3 felinos en los barrios, Villa Flora y Olaya Herrera
Animales atendidos: 3
Actividad: sensibilización en Robledo a 7 personas
Personas atendidas: 7
Actividad: esterilizaciones entre caninos y felinos
Animales atendidos: 94 
Actividad:  se implanta el microchip a caninos y felinos 
Animales atendidos: 93
Actividad: Se promueve la adopción responsable  de los  caninos y felinos del centro de bienestar animal la perla, durante el desarrollo del evento participaron  30 caninos y 21 felinos  con diferentes características (edad, tamaño, temperamento entre otros),  los cuales podrán ser adoptados durante la jornada , y se llevo acabo, entre los días 24, 25 26 de septiembre en  florida parque comercial.</v>
      </c>
      <c r="H17">
        <f>+Hoja2!H38</f>
        <v>0</v>
      </c>
    </row>
    <row r="18" spans="1:8" x14ac:dyDescent="0.2">
      <c r="A18">
        <f>+Hoja2!A39</f>
        <v>203905</v>
      </c>
      <c r="B18" s="8">
        <f>+Hoja2!B18</f>
        <v>44418</v>
      </c>
      <c r="C18">
        <f>+VLOOKUP(D18,DepMaster!$B:$C,2,FALSE)</f>
        <v>742</v>
      </c>
      <c r="D18" t="str">
        <f>+Hoja2!C39</f>
        <v>Secretaría de Medio Ambiente</v>
      </c>
      <c r="E18" s="10" t="str">
        <f>+MID(Hoja2!F39,1,2)</f>
        <v>08</v>
      </c>
      <c r="F18" t="str">
        <f>+MID(Hoja2!F39,4,20)</f>
        <v>VILLA HERMOSA</v>
      </c>
      <c r="G18" t="str">
        <f>+Hoja2!G39</f>
        <v xml:space="preserve">-Mantenimiento de árboles en la Quebradas Caño x (Calle 57A con carrera 27, sector El Pueblito y Calle 56EF 56EC 48), Chorro Hondo (Carrera 27 Calle 57), La Arenera (Calle 57 DD con Carrera 23), La Loquita y La Gallinaza 1 (Calle 56D con Carrera 17) y Chorro Hondo (Carrera 16 D No.57B- 98 int.136).
-Prevención y mitigación de riesgos derivados de árboles: 2 talas en la comuna 8
-Actividad: rescate de 2 felinos, en los barrios, Enciso, El Pinal
Animales atendidos: 2 </v>
      </c>
      <c r="H18">
        <f>+Hoja2!H39</f>
        <v>0</v>
      </c>
    </row>
    <row r="19" spans="1:8" x14ac:dyDescent="0.2">
      <c r="A19">
        <f>+Hoja2!A40</f>
        <v>203905</v>
      </c>
      <c r="B19" s="8">
        <f>+Hoja2!B19</f>
        <v>44418</v>
      </c>
      <c r="C19">
        <f>+VLOOKUP(D19,DepMaster!$B:$C,2,FALSE)</f>
        <v>742</v>
      </c>
      <c r="D19" t="str">
        <f>+Hoja2!C40</f>
        <v>Secretaría de Medio Ambiente</v>
      </c>
      <c r="E19" s="10" t="str">
        <f>+MID(Hoja2!F40,1,2)</f>
        <v>09</v>
      </c>
      <c r="F19" t="str">
        <f>+MID(Hoja2!F40,4,20)</f>
        <v>BUENOS AIRES</v>
      </c>
      <c r="G19" t="str">
        <f>+Hoja2!G40</f>
        <v>-Mantenimiento de jardines y árboles en la quebrada La Pastora (calle 44 e carrera 8).
-Actividad. rescate de 1 felino, en el barrio, El Salvador
Animales atendidos: 1</v>
      </c>
      <c r="H19">
        <f>+Hoja2!H40</f>
        <v>0</v>
      </c>
    </row>
    <row r="20" spans="1:8" x14ac:dyDescent="0.2">
      <c r="A20">
        <f>+Hoja2!A41</f>
        <v>203905</v>
      </c>
      <c r="B20" s="8">
        <f>+Hoja2!B20</f>
        <v>44418</v>
      </c>
      <c r="C20">
        <f>+VLOOKUP(D20,DepMaster!$B:$C,2,FALSE)</f>
        <v>742</v>
      </c>
      <c r="D20" t="str">
        <f>+Hoja2!C41</f>
        <v>Secretaría de Medio Ambiente</v>
      </c>
      <c r="E20" s="10" t="str">
        <f>+MID(Hoja2!F41,1,2)</f>
        <v>10</v>
      </c>
      <c r="F20" t="str">
        <f>+MID(Hoja2!F41,4,20)</f>
        <v>LA CANDELARIA</v>
      </c>
      <c r="G20" t="str">
        <f>+Hoja2!G41</f>
        <v>Sector Parque Obrero. Intervención  Ambiental en marco brigadas Gerencia Centro. 
Logro: Sostenibilidad del Espacio Intervenido.  
Indicadores: 
Evaluación de individuos arboreos:7 para tala y 1 para poda. 
Retiro de publicidad: 26 postes, 
Pintura de bailarinas: 12 unidades
Pintura de bancas: 22 unidades
Pintura de parque: 8 módulos
Pintura de muros vandalizados: 147 m2
Lavado de zonas duras: 960 m2
Jardinería: 3750 m2 
Limpieza de sumideros: 76 rejillas 
Pintura de pasamanos: 27 m lineales. 
Recurso impactado : Recurso Hídrico- Aire
-Búsqueda y marcación de sitios para siembra de árboles en la Margen derecha del Río Aburrá, iniciando desde la calle 32 (a la altura del puente de Guayaquil) y en dirección Norte hasta la calle 41 (frente a Plaza Mayor); Margen izquierdo del Río Aburrá, iniciando desde la calle 33 y en dirección Norte; Margen izquierdo del Río Aburrá, iniciando desde cercanías de la calle 33 y en dirección Norte hasta la calle 33.
-Mantenimiento preventivo y curativo a los árboles con declaratoria de patrimonio cultural arbóreo en la comuna 10 (7 árboles).
-Actividad: rescate de 2 caninos, 1 felino en los barrios, Prado Centro, Minorista, Jesus Nazareno.
Animales Atendidos: 3</v>
      </c>
      <c r="H20">
        <f>+Hoja2!H41</f>
        <v>0</v>
      </c>
    </row>
    <row r="21" spans="1:8" x14ac:dyDescent="0.2">
      <c r="A21">
        <f>+Hoja2!A42</f>
        <v>203905</v>
      </c>
      <c r="B21" s="8">
        <f>+Hoja2!B21</f>
        <v>44418</v>
      </c>
      <c r="C21">
        <f>+VLOOKUP(D21,DepMaster!$B:$C,2,FALSE)</f>
        <v>742</v>
      </c>
      <c r="D21" t="str">
        <f>+Hoja2!C42</f>
        <v>Secretaría de Medio Ambiente</v>
      </c>
      <c r="E21" s="10" t="str">
        <f>+MID(Hoja2!F42,1,2)</f>
        <v>11</v>
      </c>
      <c r="F21" t="str">
        <f>+MID(Hoja2!F42,4,20)</f>
        <v>LAURELES</v>
      </c>
      <c r="G21" t="str">
        <f>+Hoja2!G42</f>
        <v>Sector quebrada La Picacha Intervención  Ambiental. 
Logro: Intervención Integral espacio Intervenido. 
Indicadores:
Jardinería: 589 m2
Evaluación de individuos arbóreos: 2 arboles
Rocería: 850 m2
Pintura de pasamanos: 108m
Retiro de publicidad: 28 postes
Pintura de muros vandalizados:  puente vehicular La 65: 58m2 y 4 columnas. Ingresos del puente peatonal sobre la 33: 25m2
Lavado de zonas duras: 46m2
Limpieza de zonas verdes: 624m lineales
Limpieza de sumideros: 53 rejillas
Retiro de cambuches: 3 unidades 
Recurso impactado : Recurso Hídrico- Aire.
-Actividad: rescate de 2 felinos y 1 canino, en los barrios del Estadio y La Castellana 
Animales atendidos: 3
-Actividad: El día 29 de septiembre de 2021 se recibe llamado del módulo ambiental 123 del Municipio de Medellín, reportando un equino abandonado en vía pública, el testigo manifiesta que el animal se encuentra en el mismo lugar desde las 5:0 am y no tiene ningún propietario, manifiesta que por seguridad deciden que entran el animal a las instalaciones del edificio SIATA con el fin de proteger el animal de un accidente en vía pública mientras el equipo del Centro de veterinaria y Zootecnia de la universidad CES llegan al sitio. El equipo de Centro de veterinaria y Zootecnia de la universidad CES se desplaza hacia el lugar para atender el evento, se toman las respectivas medidas de acuerdo a protocolo del programa, se procede a embarcar el animal en el vehículo y posteriormente trasladarlo al CVZ donde se recibe y se inicia protocolo de ingreso.
Animales atendidos: 1</v>
      </c>
      <c r="H21">
        <f>+Hoja2!H42</f>
        <v>0</v>
      </c>
    </row>
    <row r="22" spans="1:8" x14ac:dyDescent="0.2">
      <c r="A22">
        <f>+Hoja2!A43</f>
        <v>203905</v>
      </c>
      <c r="B22" s="8">
        <f>+Hoja2!B22</f>
        <v>44418</v>
      </c>
      <c r="C22">
        <f>+VLOOKUP(D22,DepMaster!$B:$C,2,FALSE)</f>
        <v>742</v>
      </c>
      <c r="D22" t="str">
        <f>+Hoja2!C43</f>
        <v>Secretaría de Medio Ambiente</v>
      </c>
      <c r="E22" s="10" t="str">
        <f>+MID(Hoja2!F43,1,2)</f>
        <v>12</v>
      </c>
      <c r="F22" t="str">
        <f>+MID(Hoja2!F43,4,20)</f>
        <v>LA AMERICA</v>
      </c>
      <c r="G22" t="str">
        <f>+Hoja2!G43</f>
        <v>-Con cuadrilla de obreros de Cobertura se realizaron de actividades de mantenimiento en La Picacha de la Comuna 12 actividades de limpieza y mantenimiento de cauce, y se extrajeron 10 metros cúbicos de residuos solidos (Basura).
-Quebrada La Hueso, CL47D con Carera 81A, sector Estación Floresta del Sistema Metro, Comuna 12, se han reparado y reconstruido 70 metros de placas y 50 metros de pisos, además de la reconformación de llenos y adecuación de márgenes, con un avance total del 92%.
-Actividad: rescate de 1 canino, en el barrio, Aguas Frías.
Animales atendidos: 1</v>
      </c>
      <c r="H22">
        <f>+Hoja2!H43</f>
        <v>0</v>
      </c>
    </row>
    <row r="23" spans="1:8" x14ac:dyDescent="0.2">
      <c r="A23">
        <f>+Hoja2!A44</f>
        <v>203905</v>
      </c>
      <c r="B23" s="8">
        <f>+Hoja2!B23</f>
        <v>44418</v>
      </c>
      <c r="C23">
        <f>+VLOOKUP(D23,DepMaster!$B:$C,2,FALSE)</f>
        <v>742</v>
      </c>
      <c r="D23" t="str">
        <f>+Hoja2!C44</f>
        <v>Secretaría de Medio Ambiente</v>
      </c>
      <c r="E23" s="10" t="str">
        <f>+MID(Hoja2!F44,1,2)</f>
        <v>13</v>
      </c>
      <c r="F23" t="str">
        <f>+MID(Hoja2!F44,4,20)</f>
        <v>SAN JAVIER</v>
      </c>
      <c r="G23" t="str">
        <f>+Hoja2!G44</f>
        <v>-Mantenimiento preventivo y curativo a los árboles con declaratoria de patrimonio cultural arbóreo en la comuna 13 (8 árboles).</v>
      </c>
      <c r="H23">
        <f>+Hoja2!H44</f>
        <v>0</v>
      </c>
    </row>
    <row r="24" spans="1:8" x14ac:dyDescent="0.2">
      <c r="A24">
        <f>+Hoja2!A45</f>
        <v>203905</v>
      </c>
      <c r="B24" s="8">
        <f>+Hoja2!B24</f>
        <v>44418</v>
      </c>
      <c r="C24">
        <f>+VLOOKUP(D24,DepMaster!$B:$C,2,FALSE)</f>
        <v>742</v>
      </c>
      <c r="D24" t="str">
        <f>+Hoja2!C45</f>
        <v>Secretaría de Medio Ambiente</v>
      </c>
      <c r="E24" s="10" t="str">
        <f>+MID(Hoja2!F45,1,2)</f>
        <v>14</v>
      </c>
      <c r="F24" t="str">
        <f>+MID(Hoja2!F45,4,20)</f>
        <v>EL POBLADO</v>
      </c>
      <c r="G24" t="str">
        <f>+Hoja2!G45</f>
        <v>-Mantenimiento de jardines en el Eco parque Los Naranjos: Quebradas La Escopetería (calle 1 a sur entre carreras 29 y 29c) y la olleta (calle 1 a sur entre carreras 29 y 29c).
-Prevención y mitigación de riesgos derivados de árboles: 4 retiros en la comuna 14.</v>
      </c>
      <c r="H24">
        <f>+Hoja2!H45</f>
        <v>0</v>
      </c>
    </row>
    <row r="25" spans="1:8" x14ac:dyDescent="0.2">
      <c r="A25">
        <f>+Hoja2!A46</f>
        <v>203905</v>
      </c>
      <c r="B25" s="8">
        <f>+Hoja2!B25</f>
        <v>44418</v>
      </c>
      <c r="C25">
        <f>+VLOOKUP(D25,DepMaster!$B:$C,2,FALSE)</f>
        <v>742</v>
      </c>
      <c r="D25" t="str">
        <f>+Hoja2!C46</f>
        <v>Secretaría de Medio Ambiente</v>
      </c>
      <c r="E25" s="10" t="str">
        <f>+MID(Hoja2!F46,1,2)</f>
        <v>15</v>
      </c>
      <c r="F25" t="str">
        <f>+MID(Hoja2!F46,4,20)</f>
        <v>GUAYABAL</v>
      </c>
      <c r="G25" t="str">
        <f>+Hoja2!G46</f>
        <v>-Con cuadrilla de obreros de Cobertura se realizaron de actividades de mantenimiento en Quebradas La Jabalcona, Comuna 15, se realizan actividades de remoción mecánica de sedimentos, a la fecha se han intervenido 70 metros de canal y se han retirado 336 metros cúbicos de sedimentos.
-Siembra de árboles en el Río Aburrá (autopista sur entre calles 4 sur y 8 y entre calles 6 sur y 4 sur); Recolección de Escombros en las  Quebradas: El Bolo (calle 12c sur hasta carrera 53 -147), La Colinita (calle 10 sur carrera 55), Conservación de Jardines en la Quebrada La Guayabala (carrera 65g calle 14 y carrera 65 calle 1asur hasta carrera 65 calle 23).
-Mantenimiento preventivo y curativo a los árboles con declaratoria de patrimonio cultural arbóreo, visita de diagnóstico en la comuna 15 (1 árbol).
-Actividad: rescate de 1 felino, en el barrio, Cristo Rey.
Animales atendidos: 1
Actividad: esterilizaciones entre caninos y felinos 
Animales atendidos: 114
Actividad: El día 30 de septiembre de 2021 se recibe llamado del módulo ambiental 123 del Municipio de Medellín, reportando un conejo en los hangares de despacho del aeropuerto Olaya Herrera con posibles heridas en las orejas y nariz. El equipo de Centro de veterinaria y Zootecnia de la universidad CES se desplaza hacia el lugar para atender el evento, se toman las respectivas medidas de acuerdo a protocolo del programa, se procede a embarcar el animal en el vehículo y posteriormente trasladarlo al CVZ donde se recibe y se inicia protocolo de ingreso.
Animales atendidos: 1
Actividad: se implanta el microchip a caninos y felinos 
Animales atendidos: 113</v>
      </c>
      <c r="H25">
        <f>+Hoja2!H46</f>
        <v>0</v>
      </c>
    </row>
    <row r="26" spans="1:8" x14ac:dyDescent="0.2">
      <c r="A26">
        <f>+Hoja2!A47</f>
        <v>203905</v>
      </c>
      <c r="B26" s="8">
        <f>+Hoja2!B26</f>
        <v>44418</v>
      </c>
      <c r="C26">
        <f>+VLOOKUP(D26,DepMaster!$B:$C,2,FALSE)</f>
        <v>742</v>
      </c>
      <c r="D26" t="str">
        <f>+Hoja2!C47</f>
        <v>Secretaría de Medio Ambiente</v>
      </c>
      <c r="E26" s="10" t="str">
        <f>+MID(Hoja2!F47,1,2)</f>
        <v>16</v>
      </c>
      <c r="F26" t="str">
        <f>+MID(Hoja2!F47,4,20)</f>
        <v>BELEN</v>
      </c>
      <c r="G26" t="str">
        <f>+Hoja2!G47</f>
        <v>-Mantenimiento de jardines y árboles en la quebrada AltaVista (Calle 27 Carrera 79a Hasta Carrera 70 Calle 27 Centro De Salud-Gaviotas), en el Preventorio (Carrera78 Calle 24) y en el Colegio Yermo Parres (Calle 28 N° 77-84).
-Mantenimiento preventivo y curativo a los árboles con declaratoria de patrimonio cultural arbóreo en la comuna16 (1 árbol).
-Actividad: rescate de 1 canino, en el barrio, Belén.
Animales atendidos: 1</v>
      </c>
      <c r="H26">
        <f>+Hoja2!H47</f>
        <v>0</v>
      </c>
    </row>
    <row r="27" spans="1:8" x14ac:dyDescent="0.2">
      <c r="A27">
        <f>+Hoja2!A48</f>
        <v>203905</v>
      </c>
      <c r="B27" s="8">
        <f>+Hoja2!B27</f>
        <v>44418</v>
      </c>
      <c r="C27">
        <f>+VLOOKUP(D27,DepMaster!$B:$C,2,FALSE)</f>
        <v>742</v>
      </c>
      <c r="D27" t="str">
        <f>+Hoja2!C48</f>
        <v>Secretaría de Medio Ambiente</v>
      </c>
      <c r="E27" s="10" t="str">
        <f>+MID(Hoja2!F48,1,2)</f>
        <v>50</v>
      </c>
      <c r="F27" t="str">
        <f>+MID(Hoja2!F48,4,20)</f>
        <v>PALMITAS</v>
      </c>
      <c r="G27" t="str">
        <f>+Hoja2!G48</f>
        <v xml:space="preserve">-Pago Servicios Ambientales Hídricos (PSAH): Protección de 743,80 ha en conservación y 10,04 ha en restauración, con la firma de los acuerdos en los 5 corregimientos de Medellín, Con esto se aporta al indicador de Áreas de cuencas internas y externas con acciones de conservación.
</v>
      </c>
      <c r="H27">
        <f>+Hoja2!H48</f>
        <v>0</v>
      </c>
    </row>
    <row r="28" spans="1:8" x14ac:dyDescent="0.2">
      <c r="A28">
        <f>+Hoja2!A49</f>
        <v>203905</v>
      </c>
      <c r="B28" s="8">
        <f>+Hoja2!B28</f>
        <v>44418</v>
      </c>
      <c r="C28">
        <f>+VLOOKUP(D28,DepMaster!$B:$C,2,FALSE)</f>
        <v>742</v>
      </c>
      <c r="D28" t="str">
        <f>+Hoja2!C49</f>
        <v>Secretaría de Medio Ambiente</v>
      </c>
      <c r="E28" s="10" t="str">
        <f>+MID(Hoja2!F49,1,2)</f>
        <v>60</v>
      </c>
      <c r="F28" t="str">
        <f>+MID(Hoja2!F49,4,20)</f>
        <v>SAN CRISTOBAL</v>
      </c>
      <c r="G28" t="str">
        <f>+Hoja2!G49</f>
        <v>-Con cuadrilla de obreros de Cobertura se realizaron de actividades de mantenimiento en Quebrada la Ronda, Comuna 60, Corregimiento de San Cristóbal se realizaron actividades de rocería y limpieza de acceso a estructura hidráulica, que afectaba la capacidad hidráulica.
-Pago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esterilización entre caninos y felinos 
Animales atendidos: 117
Actividad: se implantan microchip, entre caninos y felinos 
Animales atendidos: 119</v>
      </c>
      <c r="H28">
        <f>+Hoja2!H49</f>
        <v>0</v>
      </c>
    </row>
    <row r="29" spans="1:8" x14ac:dyDescent="0.2">
      <c r="A29">
        <f>+Hoja2!A50</f>
        <v>203905</v>
      </c>
      <c r="B29" s="8">
        <f>+Hoja2!B29</f>
        <v>44418</v>
      </c>
      <c r="C29">
        <f>+VLOOKUP(D29,DepMaster!$B:$C,2,FALSE)</f>
        <v>742</v>
      </c>
      <c r="D29" t="str">
        <f>+Hoja2!C50</f>
        <v>Secretaría de Medio Ambiente</v>
      </c>
      <c r="E29" s="10" t="str">
        <f>+MID(Hoja2!F50,1,2)</f>
        <v>70</v>
      </c>
      <c r="F29" t="str">
        <f>+MID(Hoja2!F50,4,20)</f>
        <v>ALTAVISTA</v>
      </c>
      <c r="G29" t="str">
        <f>+Hoja2!G50</f>
        <v>-Pago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rescate de 1 canino 1 felino, en AltaVista.
Animales atendidos: 2
Actividad: esterilización externas
Animales atendidos: 101
Actividad: esterilización internas.
Animales atendidos: 9
Actividad: Se implanta microchip entre caninos y felinos 
Animales atendidos: 89</v>
      </c>
      <c r="H29">
        <f>+Hoja2!H50</f>
        <v>0</v>
      </c>
    </row>
    <row r="30" spans="1:8" x14ac:dyDescent="0.2">
      <c r="A30">
        <f>+Hoja2!A51</f>
        <v>203905</v>
      </c>
      <c r="B30" s="8">
        <f>+Hoja2!B30</f>
        <v>44418</v>
      </c>
      <c r="C30">
        <f>+VLOOKUP(D30,DepMaster!$B:$C,2,FALSE)</f>
        <v>742</v>
      </c>
      <c r="D30" t="str">
        <f>+Hoja2!C51</f>
        <v>Secretaría de Medio Ambiente</v>
      </c>
      <c r="E30" s="10" t="str">
        <f>+MID(Hoja2!F51,1,2)</f>
        <v>80</v>
      </c>
      <c r="F30" t="str">
        <f>+MID(Hoja2!F51,4,20)</f>
        <v>SAN ANTONIO DE PRADO</v>
      </c>
      <c r="G30" t="str">
        <f>+Hoja2!G51</f>
        <v>-Pago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esterilizaciones uva el paraíso San Antonio de Prado  a caninos y felinos
Animales atendidos:  122
Actividad: Se implanta microchip entre caninos y felinos.
Animales atendidos: 130</v>
      </c>
      <c r="H30">
        <f>+Hoja2!H51</f>
        <v>0</v>
      </c>
    </row>
    <row r="31" spans="1:8" x14ac:dyDescent="0.2">
      <c r="A31">
        <f>+Hoja2!A52</f>
        <v>203905</v>
      </c>
      <c r="B31" s="8">
        <f>+Hoja2!B31</f>
        <v>44418</v>
      </c>
      <c r="C31">
        <f>+VLOOKUP(D31,DepMaster!$B:$C,2,FALSE)</f>
        <v>742</v>
      </c>
      <c r="D31" t="str">
        <f>+Hoja2!C52</f>
        <v>Secretaría de Medio Ambiente</v>
      </c>
      <c r="E31" s="10" t="str">
        <f>+MID(Hoja2!F52,1,2)</f>
        <v>90</v>
      </c>
      <c r="F31" t="str">
        <f>+MID(Hoja2!F52,4,20)</f>
        <v>SANTA ELENA</v>
      </c>
      <c r="G31" t="str">
        <f>+Hoja2!G52</f>
        <v>-Con cuadrilla de obreros de Cobertura se realizaron de actividades de mantenimiento en Quebrada Chacaltaya, Comuna 90. Corregimiento de Santa Elena, actividades de remoción parcial de sedimentos con equipo vactor.
-Pago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esterilizaciones entre caninos y felinos 
Animales atendidos: 108
Actividad:  Se implanta microchip entre caninos y felinos
Animales atendidos:107</v>
      </c>
      <c r="H31">
        <f>+Hoja2!H52</f>
        <v>0</v>
      </c>
    </row>
    <row r="32" spans="1:8" x14ac:dyDescent="0.2">
      <c r="A32">
        <f>+Hoja2!A53</f>
        <v>203928</v>
      </c>
      <c r="B32" s="8">
        <f>+Hoja2!B32</f>
        <v>44418</v>
      </c>
      <c r="C32">
        <f>+VLOOKUP(D32,DepMaster!$B:$C,2,FALSE)</f>
        <v>761</v>
      </c>
      <c r="D32" t="str">
        <f>+Hoja2!C53</f>
        <v>Departamento Administrativo de Planeación</v>
      </c>
      <c r="E32" s="10" t="str">
        <f>+MID(Hoja2!F53,1,2)</f>
        <v>01</v>
      </c>
      <c r="F32" t="str">
        <f>+MID(Hoja2!F53,4,20)</f>
        <v>POPULAR</v>
      </c>
      <c r="G32" t="str">
        <f>+Hoja2!G53</f>
        <v>Existen versiones finales de documentos de las ARE, CDF, Asimilación Estratificación. También de una versión muy avanzada del decreto modificatorio de la Participación en Plusvalía.</v>
      </c>
      <c r="H32" t="str">
        <f>+Hoja2!H53</f>
        <v>N/A</v>
      </c>
    </row>
    <row r="33" spans="1:8" x14ac:dyDescent="0.2">
      <c r="A33">
        <f>+Hoja2!A54</f>
        <v>203928</v>
      </c>
      <c r="B33" s="8">
        <f>+Hoja2!B33</f>
        <v>44418</v>
      </c>
      <c r="C33">
        <f>+VLOOKUP(D33,DepMaster!$B:$C,2,FALSE)</f>
        <v>761</v>
      </c>
      <c r="D33" t="str">
        <f>+Hoja2!C54</f>
        <v>Departamento Administrativo de Planeación</v>
      </c>
      <c r="E33" s="10" t="str">
        <f>+MID(Hoja2!F54,1,2)</f>
        <v>01</v>
      </c>
      <c r="F33" t="str">
        <f>+MID(Hoja2!F54,4,20)</f>
        <v>POPULAR</v>
      </c>
      <c r="G33" t="str">
        <f>+Hoja2!G54</f>
        <v>Versión final del Proyecto de Decreto de Reglamentación de la PPPMAEP. Decreto 0818 de 2021.</v>
      </c>
      <c r="H33" t="str">
        <f>+Hoja2!H54</f>
        <v>N/A</v>
      </c>
    </row>
    <row r="34" spans="1:8" x14ac:dyDescent="0.2">
      <c r="A34">
        <f>+Hoja2!A55</f>
        <v>203937</v>
      </c>
      <c r="B34" s="8">
        <f>+Hoja2!B34</f>
        <v>44418</v>
      </c>
      <c r="C34">
        <f>+VLOOKUP(D34,DepMaster!$B:$C,2,FALSE)</f>
        <v>751</v>
      </c>
      <c r="D34" t="str">
        <f>+Hoja2!C55</f>
        <v>Secretaría de Desarrollo Económico</v>
      </c>
      <c r="E34" s="10" t="str">
        <f>+MID(Hoja2!F55,1,2)</f>
        <v>03</v>
      </c>
      <c r="F34" t="str">
        <f>+MID(Hoja2!F55,4,20)</f>
        <v>MANRIQUE</v>
      </c>
      <c r="G34" t="str">
        <f>+Hoja2!G55</f>
        <v>	Desde el Banco de las Oportunidades se apoyó El Programa de la Gestora Social PREA (Prevención del Embarazo en Adolescentes), en las caravanas de los días 28 y 30 de septiembre, realizadas, en las comunas 3 Manrique y 7 Robledo, llevando nuestra oferta de servicios del Banco y mostrando una opción de ingresos a este público objetivo.</v>
      </c>
      <c r="H34" t="str">
        <f>+Hoja2!H55</f>
        <v>sin cifras</v>
      </c>
    </row>
    <row r="35" spans="1:8" x14ac:dyDescent="0.2">
      <c r="A35">
        <f>+Hoja2!A56</f>
        <v>203937</v>
      </c>
      <c r="B35" s="8">
        <f>+Hoja2!B35</f>
        <v>44418</v>
      </c>
      <c r="C35">
        <f>+VLOOKUP(D35,DepMaster!$B:$C,2,FALSE)</f>
        <v>751</v>
      </c>
      <c r="D35" t="str">
        <f>+Hoja2!C56</f>
        <v>Secretaría de Desarrollo Económico</v>
      </c>
      <c r="E35" s="10" t="str">
        <f>+MID(Hoja2!F56,1,2)</f>
        <v>90</v>
      </c>
      <c r="F35" t="str">
        <f>+MID(Hoja2!F56,4,20)</f>
        <v>SANTA ELENA</v>
      </c>
      <c r="G35" t="str">
        <f>+Hoja2!G56</f>
        <v>Se continúa con la convocatoria con  recursos de planeación local y presupuesto participativo priorizado para el año 2021 para 735 cupos en las comunas 2, 6, 10, 15 y 90 para la formación en procesos relacionados con la 4RI, industria tradicional y bilingüismo,</v>
      </c>
      <c r="H35" t="str">
        <f>+Hoja2!H56</f>
        <v>Al 30  de septiembre se ha logrado la inscripción de 965 personas de todas las comunas mencionadas</v>
      </c>
    </row>
    <row r="36" spans="1:8" x14ac:dyDescent="0.2">
      <c r="A36">
        <f>+Hoja2!A57</f>
        <v>203937</v>
      </c>
      <c r="B36" s="8">
        <f>+Hoja2!B36</f>
        <v>44418</v>
      </c>
      <c r="C36">
        <f>+VLOOKUP(D36,DepMaster!$B:$C,2,FALSE)</f>
        <v>751</v>
      </c>
      <c r="D36" t="str">
        <f>+Hoja2!C57</f>
        <v>Secretaría de Desarrollo Económico</v>
      </c>
      <c r="E36" s="10" t="str">
        <f>+MID(Hoja2!F57,1,2)</f>
        <v>16</v>
      </c>
      <c r="F36" t="str">
        <f>+MID(Hoja2!F57,4,20)</f>
        <v>BELEN</v>
      </c>
      <c r="G36" t="str">
        <f>+Hoja2!G57</f>
        <v xml:space="preserve">Se logró realizar la micro feria de empleo en la comuna de Belen: </v>
      </c>
      <c r="H36" t="str">
        <f>+Hoja2!H57</f>
        <v>121 registros de hojas de vida, 246 postulaciones a las vacantes, 95 personas orientadas en desarrollo ocupacional</v>
      </c>
    </row>
    <row r="37" spans="1:8" x14ac:dyDescent="0.2">
      <c r="A37">
        <f>+Hoja2!A58</f>
        <v>203937</v>
      </c>
      <c r="B37" s="8">
        <f>+Hoja2!B37</f>
        <v>44418</v>
      </c>
      <c r="C37">
        <f>+VLOOKUP(D37,DepMaster!$B:$C,2,FALSE)</f>
        <v>751</v>
      </c>
      <c r="D37" t="str">
        <f>+Hoja2!C58</f>
        <v>Secretaría de Desarrollo Económico</v>
      </c>
      <c r="E37" s="10" t="str">
        <f>+MID(Hoja2!F58,1,2)</f>
        <v>80</v>
      </c>
      <c r="F37" t="str">
        <f>+MID(Hoja2!F58,4,20)</f>
        <v>SAN ANTONIO DE PRADO</v>
      </c>
      <c r="G37" t="str">
        <f>+Hoja2!G58</f>
        <v xml:space="preserve">El día 2 de octubre desde las 8:00 am, a las 2:00 pm, realizamos presencia con la vitrina campesina en el parque de San Antonio de Prado, en la conmemoración del día del patrimonio, contando con 8 participantes agricultores. De manera paralela este mismo día de 10:00 am a 5:00 pm realizamos presencia en el parque de los Deseos con la participación de 8 transformadores en una vitrina campesina, acompañando el evento Territorio en Paz. </v>
      </c>
      <c r="H37" t="str">
        <f>+Hoja2!H58</f>
        <v>sin cifras</v>
      </c>
    </row>
    <row r="38" spans="1:8" x14ac:dyDescent="0.2">
      <c r="A38">
        <f>+Hoja2!A59</f>
        <v>203937</v>
      </c>
      <c r="B38" s="8">
        <f>+Hoja2!B38</f>
        <v>44418</v>
      </c>
      <c r="C38">
        <f>+VLOOKUP(D38,DepMaster!$B:$C,2,FALSE)</f>
        <v>751</v>
      </c>
      <c r="D38" t="str">
        <f>+Hoja2!C59</f>
        <v>Secretaría de Desarrollo Económico</v>
      </c>
      <c r="E38" s="10" t="str">
        <f>+MID(Hoja2!F59,1,2)</f>
        <v>06</v>
      </c>
      <c r="F38" t="str">
        <f>+MID(Hoja2!F59,4,20)</f>
        <v>DOCE DE OCTUBRE</v>
      </c>
      <c r="G38" t="str">
        <f>+Hoja2!G59</f>
        <v xml:space="preserve">El día 9 de octubre se llevará a cabo la Vitrina Campesina, en el marco de la feria de servicios realizada por la Alcaldía de Medellín en el doce de octubre, estaremos desde las 9:00 am a las 3:00 pm, con la participación de 4 productores transformadores. </v>
      </c>
      <c r="H38" t="str">
        <f>+Hoja2!H59</f>
        <v>sin cifras</v>
      </c>
    </row>
    <row r="39" spans="1:8" x14ac:dyDescent="0.2">
      <c r="A39">
        <f>+Hoja2!A60</f>
        <v>203937</v>
      </c>
      <c r="B39" s="8">
        <f>+Hoja2!B39</f>
        <v>44418</v>
      </c>
      <c r="C39">
        <f>+VLOOKUP(D39,DepMaster!$B:$C,2,FALSE)</f>
        <v>751</v>
      </c>
      <c r="D39" t="str">
        <f>+Hoja2!C60</f>
        <v>Secretaría de Desarrollo Económico</v>
      </c>
      <c r="E39" s="10" t="str">
        <f>+MID(Hoja2!F60,1,2)</f>
        <v>10</v>
      </c>
      <c r="F39" t="str">
        <f>+MID(Hoja2!F60,4,20)</f>
        <v>LA CANDELARIA</v>
      </c>
      <c r="G39" t="str">
        <f>+Hoja2!G60</f>
        <v xml:space="preserve">El día 15 de octubre se llevará a cabo nuestra gran Vitrina Campesina del Centro Administrativo la Alpujarra, desde las 7:30 am a las 5:00 pm, en la cual tendremos 60 participantes, entre productores, transformadores, productores transformadores. De igual manera en este evento nos encontramos articulados para celebrar la semana de la Alimentación con la Secretaria de Inclusión Social, Familia y Derechos Humanos, por lo cual en el marco de la vitrina se realizarán muestras gastronómicas lideradas por el Equipo de Seguridad Alimentaria (ESAN) de dicha secretaria, conferencias, foros y diferentes actividades en conmemoración de esta semana. </v>
      </c>
      <c r="H39" t="str">
        <f>+Hoja2!H60</f>
        <v>sin cifras</v>
      </c>
    </row>
    <row r="40" spans="1:8" x14ac:dyDescent="0.2">
      <c r="A40">
        <f>+Hoja2!A61</f>
        <v>203939</v>
      </c>
      <c r="B40" s="8">
        <f>+Hoja2!B40</f>
        <v>44418</v>
      </c>
      <c r="C40">
        <f>+VLOOKUP(D40,DepMaster!$B:$C,2,FALSE)</f>
        <v>732</v>
      </c>
      <c r="D40" t="str">
        <f>+Hoja2!C61</f>
        <v>Secretaría de Seguridad y Convivencia</v>
      </c>
      <c r="E40" s="10" t="str">
        <f>+MID(Hoja2!F61,1,2)</f>
        <v>01</v>
      </c>
      <c r="F40" t="str">
        <f>+MID(Hoja2!F61,4,20)</f>
        <v>POPULAR</v>
      </c>
      <c r="G40" t="str">
        <f>+Hoja2!G61</f>
        <v xml:space="preserve">-	Se avanza en  plan de supervisión del contrato 4600091659 de 2021 Presupuesto Participativo con la Empresa Metroparques para la ejecución de los recursos de PL y PP 2.021. Inversión $2.604.762.199, correspondiente a las comunas: 1-Popular, 04 Aranjuez, 10 La Candelaria, y 80 Corregimiento de San Antonio de Prado.
-	Control de comerciantes nocturnos, el viernes 1 de octubre se visita la zona alta de la comuna en sus barrios Carpinelo y la Esperanza, llegando a un acuerdo con ellos para iniciar la formalización y legalización de sus actividades para lograr una sana convivencia en el territorio.
</v>
      </c>
      <c r="H40" t="str">
        <f>+Hoja2!H61</f>
        <v>N/A</v>
      </c>
    </row>
    <row r="41" spans="1:8" x14ac:dyDescent="0.2">
      <c r="A41">
        <f>+Hoja2!A62</f>
        <v>203939</v>
      </c>
      <c r="B41" s="8">
        <f>+Hoja2!B41</f>
        <v>44418</v>
      </c>
      <c r="C41">
        <f>+VLOOKUP(D41,DepMaster!$B:$C,2,FALSE)</f>
        <v>732</v>
      </c>
      <c r="D41" t="str">
        <f>+Hoja2!C62</f>
        <v>Secretaría de Seguridad y Convivencia</v>
      </c>
      <c r="E41" s="10" t="str">
        <f>+MID(Hoja2!F62,1,2)</f>
        <v>02</v>
      </c>
      <c r="F41" t="str">
        <f>+MID(Hoja2!F62,4,20)</f>
        <v>SANTA CRUZ</v>
      </c>
      <c r="G41" t="str">
        <f>+Hoja2!G62</f>
        <v xml:space="preserve">-	Se logra hacer presencia interinstitucional en puntos críticos de la comuna con operativos de control, venta consumo estupefacientes, desmote cambuches, recuperación espacio público.
-	También se viene realizando acciones de prevención del delito en instituciones educativas, con presencia interinstitucional y organismos de justicia, enfocado en venta y consumo estupefacientes, violencias NNAJ, violencias sexuales. Además, se abren espacios de interlocución, permitiendo generar articulaciones, con la institucionalidad, líderes de interés y comunidad en general.
-	Se apoya la socialización del proyecto de implementación de la red neutra para la conectividad en internet.
-	Se gestiona consejo de convivencia en el sector Sinaí, con participación interinstitucionales, quienes brindaron sensibilización en residuos sólidos, Sisbén, fortalecimiento empresarial y violencia intrafamiliar.
</v>
      </c>
      <c r="H41" t="str">
        <f>+Hoja2!H62</f>
        <v>-	Se gestiona consejo de convivencia en el sector Sinaí, con participación interinstitucionales, quienes brindaron sensibilización en residuos sólidos, Sisbén, fortalecimiento empresarial y violencia intrafamiliar; con una participación de 39 personas.</v>
      </c>
    </row>
    <row r="42" spans="1:8" x14ac:dyDescent="0.2">
      <c r="A42">
        <f>+Hoja2!A63</f>
        <v>203939</v>
      </c>
      <c r="B42" s="8">
        <f>+Hoja2!B42</f>
        <v>44418</v>
      </c>
      <c r="C42">
        <f>+VLOOKUP(D42,DepMaster!$B:$C,2,FALSE)</f>
        <v>732</v>
      </c>
      <c r="D42" t="str">
        <f>+Hoja2!C63</f>
        <v>Secretaría de Seguridad y Convivencia</v>
      </c>
      <c r="E42" s="10" t="str">
        <f>+MID(Hoja2!F63,1,2)</f>
        <v>03</v>
      </c>
      <c r="F42" t="str">
        <f>+MID(Hoja2!F63,4,20)</f>
        <v>MANRIQUE</v>
      </c>
      <c r="G42" t="str">
        <f>+Hoja2!G63</f>
        <v xml:space="preserve">-	El 3 de octubre en el Barrio Las Granjas, se realizó el encuentro comunitario "ponte en los zapatos del otro" con el objetivo de mitigar los diferentes comportamientos contrarios a la convivencia. Se contó con el apoyo de la Policía de Vecindario. 
-	Se realizó actividad preventiva frente a la venta y consumo de estupefacientes en el sector de Campo Valdés.
</v>
      </c>
      <c r="H42" t="str">
        <f>+Hoja2!H63</f>
        <v xml:space="preserve">-	El 3 de octubre en el Barrio Las Granjas, se realizó el encuentro comunitario "ponte en los zapatos del otro" con el objetivo de mitigar los diferentes comportamientos contrarios a la convivencia. Se contó con el apoyo de la Policía de Vecindario. Participaron de esta actividad 12 personas.
-	Se realizó actividad preventiva frente a la venta y consumo de estupefacientes en el sector de Campo Valdés, sensibilizando a 50 personas.
</v>
      </c>
    </row>
    <row r="43" spans="1:8" x14ac:dyDescent="0.2">
      <c r="A43">
        <f>+Hoja2!A64</f>
        <v>203939</v>
      </c>
      <c r="B43" s="8">
        <f>+Hoja2!B43</f>
        <v>44418</v>
      </c>
      <c r="C43">
        <f>+VLOOKUP(D43,DepMaster!$B:$C,2,FALSE)</f>
        <v>732</v>
      </c>
      <c r="D43" t="str">
        <f>+Hoja2!C64</f>
        <v>Secretaría de Seguridad y Convivencia</v>
      </c>
      <c r="E43" s="10" t="str">
        <f>+MID(Hoja2!F64,1,2)</f>
        <v>04</v>
      </c>
      <c r="F43" t="str">
        <f>+MID(Hoja2!F64,4,20)</f>
        <v>ARANJUEZ</v>
      </c>
      <c r="G43" t="str">
        <f>+Hoja2!G64</f>
        <v xml:space="preserve">-	Se realizaron 5 jornadas de Promoción de Rutas de Atención y Mecanismos de Defensa de los DDHH y la Convivencia, durante la semana del 27 de septiembre al 3 de octubre de 2021, de 9:00 a.m. a 3:00 p.m., en mesas de atención ubicadas al lado de la puerta de acceso principal de la Casa de Justicia El Bosque.
-	Se avanza en  plan de supervisión del contrato 4600091659 de 2021 Presupuesto Participativo con la Empresa Metroparques para la ejecución de los recursos de PL y PP 2.021. Inversión $2.604.762.199, correspondiente a las comunas: 1-Popular, 04 Aranjuez, 10 La Candelaria, y 80 Corregimiento de San Antonio de Prado.
</v>
      </c>
      <c r="H43" t="str">
        <f>+Hoja2!H64</f>
        <v xml:space="preserve">-	Se realizaron 5 jornadas de Promoción de Rutas de Atención y Mecanismos de Defensa de los DDHH y la Convivencia, durante la semana del 27 de septiembre al 3 de octubre de 2021, de 9:00 a.m. a 3:00 p.m., en mesas de atención ubicadas al lado de la puerta de acceso principal de la Casa de Justicia El Bosque, beneficiándose a 191 personas. </v>
      </c>
    </row>
    <row r="44" spans="1:8" x14ac:dyDescent="0.2">
      <c r="A44">
        <f>+Hoja2!A65</f>
        <v>203939</v>
      </c>
      <c r="B44" s="8">
        <f>+Hoja2!B44</f>
        <v>44418</v>
      </c>
      <c r="C44">
        <f>+VLOOKUP(D44,DepMaster!$B:$C,2,FALSE)</f>
        <v>732</v>
      </c>
      <c r="D44" t="str">
        <f>+Hoja2!C65</f>
        <v>Secretaría de Seguridad y Convivencia</v>
      </c>
      <c r="E44" s="10" t="str">
        <f>+MID(Hoja2!F65,1,2)</f>
        <v>05</v>
      </c>
      <c r="F44" t="str">
        <f>+MID(Hoja2!F65,4,20)</f>
        <v>CASTILLA</v>
      </c>
      <c r="G44" t="str">
        <f>+Hoja2!G65</f>
        <v>-	El 1 octubre en el Bulevar de la 68, y barrio Gratamira, el equipo del programa Medellín Convive la Noche visitó establecimientos con actividad económica "venta y consumo de licor” que buscan ingresar al programa “Convive la Noche”, adicional a lo anterior, se realizó seguimiento a establecimientos ya pertenecientes al programa. En estas visitas se sensibilizaron a los comerciantes con la estrategia "Parche Seguro" la cual busca incentivar a los propietarios de los establecimientos a las buenas prácticas de autocuidado y legalidad en el marco de la reactivación económica y se verifica la documentación obligatoria de acuerdo a la Ley 1801 de 2016.</v>
      </c>
      <c r="H44" t="str">
        <f>+Hoja2!H65</f>
        <v>-	El 1 octubre en el Bulevar de la 68, y barrio Gratamira, el equipo del programa Medellín Convive la Noche visitó establecimientos con actividad económica "venta y consumo de licor” que buscan ingresar al programa “Convive la Noche”, adicional a lo anterior, se realizó seguimiento a establecimientos ya pertenecientes al programa. En estas visitas se sensibilizaron a los comerciantes con la estrategia "Parche Seguro" la cual busca incentivar a los propietarios de los establecimientos a las buenas prácticas de autocuidado y legalidad en el marco de la reactivación económica y se verifica la documentación obligatoria de acuerdo a la Ley 1801 de 2016. Se visitaron 11 establecimientos de comercio.</v>
      </c>
    </row>
    <row r="45" spans="1:8" x14ac:dyDescent="0.2">
      <c r="A45">
        <f>+Hoja2!A66</f>
        <v>203939</v>
      </c>
      <c r="B45" s="8">
        <f>+Hoja2!B45</f>
        <v>44418</v>
      </c>
      <c r="C45">
        <f>+VLOOKUP(D45,DepMaster!$B:$C,2,FALSE)</f>
        <v>732</v>
      </c>
      <c r="D45" t="str">
        <f>+Hoja2!C66</f>
        <v>Secretaría de Seguridad y Convivencia</v>
      </c>
      <c r="E45" s="10" t="str">
        <f>+MID(Hoja2!F66,1,2)</f>
        <v>07</v>
      </c>
      <c r="F45" t="str">
        <f>+MID(Hoja2!F66,4,20)</f>
        <v>ROBLEDO</v>
      </c>
      <c r="G45" t="str">
        <f>+Hoja2!G66</f>
        <v>-	Se realiza operativo de control a venteros en el sector de San Germán, logrando acuerdos con los mismos.</v>
      </c>
      <c r="H45">
        <f>+Hoja2!H66</f>
        <v>0</v>
      </c>
    </row>
    <row r="46" spans="1:8" x14ac:dyDescent="0.2">
      <c r="A46">
        <f>+Hoja2!A67</f>
        <v>203939</v>
      </c>
      <c r="B46" s="8">
        <f>+Hoja2!B46</f>
        <v>44418</v>
      </c>
      <c r="C46">
        <f>+VLOOKUP(D46,DepMaster!$B:$C,2,FALSE)</f>
        <v>732</v>
      </c>
      <c r="D46" t="str">
        <f>+Hoja2!C67</f>
        <v>Secretaría de Seguridad y Convivencia</v>
      </c>
      <c r="E46" s="10" t="str">
        <f>+MID(Hoja2!F67,1,2)</f>
        <v>08</v>
      </c>
      <c r="F46" t="str">
        <f>+MID(Hoja2!F67,4,20)</f>
        <v>VILLA HERMOSA</v>
      </c>
      <c r="G46" t="str">
        <f>+Hoja2!G67</f>
        <v xml:space="preserve">-	El 1 de octubre en los barrios Manzanares, Caicedo, Los Mangos y Villa Lilian, el programa “Convive la Noche” en articulación con el Promotor Local de Gobierno realiza visitas de seguimiento a los establecimientos de comercio con venta y consumo de licor pertenecientes a la asociación de comerciantes ASO8. Se sensibiliza sobre los requisitos de funcionamiento, los límites máximos permitidos de ruido y se invita a los comerciantes que se encuentran en zonas aptas a vincularse a dicho programa para adquirir el incentivo de extensión de horario. Paralelamente se continúa implementando la estrategia “Parche Seguro” para incentivando el cumplimiento de los protocolos de Bioseguridad. </v>
      </c>
      <c r="H46" t="str">
        <f>+Hoja2!H67</f>
        <v>-	El 1 de octubre en los barrios Manzanares, Caicedo, Los Mangos y Villa Lilian, el programa “Convive la Noche” en articulación con el Promotor Local de Gobierno realiza visitas de seguimiento a los establecimientos de comercio con venta y consumo de licor pertenecientes a la asociación de comerciantes ASO8. Se sensibiliza sobre los requisitos de funcionamiento, los límites máximos permitidos de ruido y se invita a los comerciantes que se encuentran en zonas aptas a vincularse a dicho programa para adquirir el incentivo de extensión de horario. Paralelamente se continúa implementando la estrategia “Parche Seguro” para incentivando el cumplimiento de los protocolos de Bioseguridad. Se sensibilizaron 6 establecimientos de comercio.</v>
      </c>
    </row>
    <row r="47" spans="1:8" x14ac:dyDescent="0.2">
      <c r="A47">
        <f>+Hoja2!A68</f>
        <v>203939</v>
      </c>
      <c r="B47" s="8">
        <f>+Hoja2!B47</f>
        <v>44418</v>
      </c>
      <c r="C47">
        <f>+VLOOKUP(D47,DepMaster!$B:$C,2,FALSE)</f>
        <v>732</v>
      </c>
      <c r="D47" t="str">
        <f>+Hoja2!C68</f>
        <v>Secretaría de Seguridad y Convivencia</v>
      </c>
      <c r="E47" s="10" t="str">
        <f>+MID(Hoja2!F68,1,2)</f>
        <v>09</v>
      </c>
      <c r="F47" t="str">
        <f>+MID(Hoja2!F68,4,20)</f>
        <v>BUENOS AIRES</v>
      </c>
      <c r="G47" t="str">
        <f>+Hoja2!G68</f>
        <v xml:space="preserve">-	Luego de reunión con líderes y comunidad del barrio Los Cerros, se realizó actividad preventiva de seguridad donde se entregaron casa a casa tarjetas informativas de las líneas de cuadrantes, esto se hizo en articulación con PRECI y gestora de seguridad Comuna 9.
-	Se realiza reunión con líderes de Loreto en la emisora la Novena Estación para abordar dicha problemática de hurto a motocicletas y se programa reunión con líderes y comerciantes de El Salvador para el día viernes 8 de octubre del presente año.
-	El 1 octubre se realizó intervención gestionada por Coordinador de Gobierno y Gestora de Seguridad y ejecutada por parte de Espacio Público y Emvarias en el sector de la Calle 35 con Carrera 16, con el fin de ejecutar ornato, aseo y sensibilización en el sector de la 35, el cual está siendo usado para consumo de estupefacientes por parte de jóvenes del sector. El objetivo es recuperar el espacio para el disfrute y tránsito de la comunidad de Eterna Primavera.
-	El 6 de octubre se realiza actividad dirigida a los padres de familia de los alumnos del Hogar Infantil "Los Caunces", en derecho a una vida libre de violencias, dónde se busca prevenir el delito de violencia intrafamiliar, violencia a la mujer y violencia a NNAJ.
</v>
      </c>
      <c r="H47">
        <f>+Hoja2!H68</f>
        <v>0</v>
      </c>
    </row>
    <row r="48" spans="1:8" x14ac:dyDescent="0.2">
      <c r="A48">
        <f>+Hoja2!A69</f>
        <v>203939</v>
      </c>
      <c r="B48" s="8">
        <f>+Hoja2!B48</f>
        <v>44418</v>
      </c>
      <c r="C48">
        <f>+VLOOKUP(D48,DepMaster!$B:$C,2,FALSE)</f>
        <v>732</v>
      </c>
      <c r="D48" t="str">
        <f>+Hoja2!C69</f>
        <v>Secretaría de Seguridad y Convivencia</v>
      </c>
      <c r="E48" s="10" t="str">
        <f>+MID(Hoja2!F69,1,2)</f>
        <v>10</v>
      </c>
      <c r="F48" t="str">
        <f>+MID(Hoja2!F69,4,20)</f>
        <v>LA CANDELARIA</v>
      </c>
      <c r="G48" t="str">
        <f>+Hoja2!G69</f>
        <v xml:space="preserve">-	El 28 de septiembre en los barrios Boston y Bomboná, el equipo de zona 3, realizó la actividad de postulación del Vecino Ejemplar, donde se inscribió para esta postulación a 50 personas.
-	Se avanza en plan de supervisión del contrato 4600091659 de 2021 Presupuesto Participativo con la Empresa Metroparques para la ejecución de los recursos de PL y PP 2.021. Inversión $2.604.762.199, correspondiente a las comunas: 1-Popular, 04 Aranjuez, 10 La Candelaria, y 80 Corregimiento de San Antonio de Prado.
-	Control de perifoneo a venteros informales en el sector de Junín y la Playa, aplicando la ley 1801 de 2016.
-	Durante las intervenciones integrales con habitantes de calle desde el corredor del Rio (Alpina) hasta el puente del Mico (Minorista) se logró el desmonte de 40 cambuches y la recolección de 4.5 toneladas de basura.  
</v>
      </c>
      <c r="H48">
        <f>+Hoja2!H69</f>
        <v>0</v>
      </c>
    </row>
    <row r="49" spans="1:8" x14ac:dyDescent="0.2">
      <c r="A49">
        <f>+Hoja2!A70</f>
        <v>203939</v>
      </c>
      <c r="B49" s="8">
        <f>+Hoja2!B49</f>
        <v>44418</v>
      </c>
      <c r="C49">
        <f>+VLOOKUP(D49,DepMaster!$B:$C,2,FALSE)</f>
        <v>732</v>
      </c>
      <c r="D49" t="str">
        <f>+Hoja2!C70</f>
        <v>Secretaría de Seguridad y Convivencia</v>
      </c>
      <c r="E49" s="10" t="str">
        <f>+MID(Hoja2!F70,1,2)</f>
        <v>11</v>
      </c>
      <c r="F49" t="str">
        <f>+MID(Hoja2!F70,4,20)</f>
        <v>LAURELES</v>
      </c>
      <c r="G49" t="str">
        <f>+Hoja2!G70</f>
        <v xml:space="preserve">-	Operativo frente a la regulación y control del perifoneo para lograr mitigar la problemática del perifoneo en diversos sectores de la comuna, en donde permanece e incentivan a otro tipo de problemáticas de seguridad y convivencia.
-	Capacitación con Gaula para lograr dar a conocer casos que se han estado presentando en el sector en relación con la extorsión. 
-	Intervención con Emvarias para lograr mitigar la problemática de residuos sólidos en los puntos críticos que han generado la permanencia de habitantes de calle y han afectado la percepción de seguridad en el sector de la 70.
-	Intervención control habitante de calle para lograr mitigar la problemática de asentamiento de cambuches y habitantes de calle en las zonas residenciales y puntos de concentración de dicha problemática que genera percepción de inseguridad.
-	Intervención operativa sector del Velódromo para lograr mitigar la problemática de inseguridad reportada por la comunidad por medio del control de los organismos de justicia.
-	Generación y activación de alertas tempranas en la comunidad para prevenir el hurto a personas en el sector por medio de la generación y activación de alarmas tempranas a la comunidad.
-	Implementación de la campaña auditiva de la jurisdicción "Seguro te aseguras" con el fin de brindar recomendaciones que permita prevenir situaciones de vulnerabilidad ante un hurto a vehículos.
</v>
      </c>
      <c r="H49">
        <f>+Hoja2!H70</f>
        <v>0</v>
      </c>
    </row>
    <row r="50" spans="1:8" x14ac:dyDescent="0.2">
      <c r="A50">
        <f>+Hoja2!A71</f>
        <v>203939</v>
      </c>
      <c r="B50" s="8">
        <f>+Hoja2!B50</f>
        <v>44418</v>
      </c>
      <c r="C50">
        <f>+VLOOKUP(D50,DepMaster!$B:$C,2,FALSE)</f>
        <v>732</v>
      </c>
      <c r="D50" t="str">
        <f>+Hoja2!C71</f>
        <v>Secretaría de Seguridad y Convivencia</v>
      </c>
      <c r="E50" s="10" t="str">
        <f>+MID(Hoja2!F71,1,2)</f>
        <v>13</v>
      </c>
      <c r="F50" t="str">
        <f>+MID(Hoja2!F71,4,20)</f>
        <v>SAN JAVIER</v>
      </c>
      <c r="G50" t="str">
        <f>+Hoja2!G71</f>
        <v xml:space="preserve">-	La jornada de descongestión que se viene desarrollando en la Inspección 13 de Policía, al 30 de septiembre de 2021 se han evacuado 330 procesos de 2014-2019 logrando una descongestión del 48.3%.
-	El 29 de septiembre, de 11:00 a.m., a 12:30 p.m., se realizó en el Barrio 20 de Julio por parte del equipo coordinador, una jornada de prevención y promoción sobre el cuidado y derecho a la vida, por medio de entrega de tapabocas a 31 personas.
</v>
      </c>
      <c r="H50">
        <f>+Hoja2!H71</f>
        <v>0</v>
      </c>
    </row>
    <row r="51" spans="1:8" x14ac:dyDescent="0.2">
      <c r="A51">
        <f>+Hoja2!A72</f>
        <v>203939</v>
      </c>
      <c r="B51" s="8">
        <f>+Hoja2!B51</f>
        <v>44418</v>
      </c>
      <c r="C51">
        <f>+VLOOKUP(D51,DepMaster!$B:$C,2,FALSE)</f>
        <v>732</v>
      </c>
      <c r="D51" t="str">
        <f>+Hoja2!C72</f>
        <v>Secretaría de Seguridad y Convivencia</v>
      </c>
      <c r="E51" s="10" t="str">
        <f>+MID(Hoja2!F72,1,2)</f>
        <v>14</v>
      </c>
      <c r="F51" t="str">
        <f>+MID(Hoja2!F72,4,20)</f>
        <v>EL POBLADO</v>
      </c>
      <c r="G51" t="str">
        <f>+Hoja2!G72</f>
        <v>-	El viernes 01 de octubre se realizó la intervención especial desmonte de cambuches en articulación con espacio público, Emvarias y policía nacional, se desmontaron 6 cambuches logrando recuperar los 6 espacio públicos.</v>
      </c>
      <c r="H51">
        <f>+Hoja2!H72</f>
        <v>0</v>
      </c>
    </row>
    <row r="52" spans="1:8" x14ac:dyDescent="0.2">
      <c r="A52">
        <f>+Hoja2!A73</f>
        <v>203939</v>
      </c>
      <c r="B52" s="8">
        <f>+Hoja2!B52</f>
        <v>44418</v>
      </c>
      <c r="C52">
        <f>+VLOOKUP(D52,DepMaster!$B:$C,2,FALSE)</f>
        <v>732</v>
      </c>
      <c r="D52" t="str">
        <f>+Hoja2!C73</f>
        <v>Secretaría de Seguridad y Convivencia</v>
      </c>
      <c r="E52" s="10" t="str">
        <f>+MID(Hoja2!F73,1,2)</f>
        <v>16</v>
      </c>
      <c r="F52" t="str">
        <f>+MID(Hoja2!F73,4,20)</f>
        <v>BELEN</v>
      </c>
      <c r="G52" t="str">
        <f>+Hoja2!G73</f>
        <v xml:space="preserve">-	La semana anterior avanzamos en prevención de hurto y prevención de consumo a través de la realización de acciones articuladas con Inclusión Social, Familia y DDHH y Espacio Público para atención de habitante en situación de calle. Esta actividad se realizó el miércoles y jueves. 
-	El jueves 30 de septiembre, se realizó un Plan Parques 
</v>
      </c>
      <c r="H52" t="str">
        <f>+Hoja2!H73</f>
        <v>-	La semana anterior avanzamos en prevención de hurto y prevención de consumo a través de la realización de acciones articuladas con Inclusión Social, Familia y DDHH y Espacio Público para atención de habitante en situación de calle. Esta actividad se realizó el miércoles y jueves. En total se atendieron 26 habitantes en condición de calle de los cuales 8 aceptaron ser remitidos a Centro Día. 
-	El jueves 30 de septiembre, se realizó un Plan Parques en el cual se visitaron 6 parques de la comuna se requisaron 33 personas, 13 cambuches desmontados y 26 personas sensibilizadas.</v>
      </c>
    </row>
    <row r="53" spans="1:8" x14ac:dyDescent="0.2">
      <c r="A53">
        <f>+Hoja2!A74</f>
        <v>203939</v>
      </c>
      <c r="B53" s="8">
        <f>+Hoja2!B53</f>
        <v>44418</v>
      </c>
      <c r="C53">
        <f>+VLOOKUP(D53,DepMaster!$B:$C,2,FALSE)</f>
        <v>732</v>
      </c>
      <c r="D53" t="str">
        <f>+Hoja2!C74</f>
        <v>Secretaría de Seguridad y Convivencia</v>
      </c>
      <c r="E53" s="10" t="str">
        <f>+MID(Hoja2!F74,1,2)</f>
        <v>50</v>
      </c>
      <c r="F53" t="str">
        <f>+MID(Hoja2!F74,4,20)</f>
        <v>PALMITAS</v>
      </c>
      <c r="G53" t="str">
        <f>+Hoja2!G74</f>
        <v xml:space="preserve">-	El 28 de septiembre en la vereda la aldea, el equipo del programa de “Convive la Noche” participó activamente en el Consejo de Convivencia, teniendo como tema principal: establecimientos comerciales de vida nocturna con fuentes sonoras altas (música) que perturban la tranquilidad y el descanso de los habitantes. 
-	Se articulan acciones con el Ejército Nacional
</v>
      </c>
      <c r="H53" t="str">
        <f>+Hoja2!H74</f>
        <v>-	El 28 de septiembre en la vereda la aldea, el equipo del programa de “Convive la Noche” participó activamente en el Consejo de Convivencia, teniendo como tema principal: establecimientos comerciales de vida nocturna con fuentes sonoras altas (música) que perturban la tranquilidad y el descanso de los habitantes. En este consejo participaron 9 comerciantes.</v>
      </c>
    </row>
    <row r="54" spans="1:8" x14ac:dyDescent="0.2">
      <c r="A54">
        <f>+Hoja2!A75</f>
        <v>203939</v>
      </c>
      <c r="B54" s="8">
        <f>+Hoja2!B54</f>
        <v>44418</v>
      </c>
      <c r="C54">
        <f>+VLOOKUP(D54,DepMaster!$B:$C,2,FALSE)</f>
        <v>732</v>
      </c>
      <c r="D54" t="str">
        <f>+Hoja2!C75</f>
        <v>Secretaría de Seguridad y Convivencia</v>
      </c>
      <c r="E54" s="10" t="str">
        <f>+MID(Hoja2!F75,1,2)</f>
        <v>60</v>
      </c>
      <c r="F54" t="str">
        <f>+MID(Hoja2!F75,4,20)</f>
        <v>SAN CRISTOBAL</v>
      </c>
      <c r="G54" t="str">
        <f>+Hoja2!G75</f>
        <v xml:space="preserve">-	El 28 de septiembre en la urbanización Avellanas se realizó encuentro de acompañamiento psicosocial a grupo de mujeres líderes comunitarias. Este encuentro se dio en el marco del proceso que adelanta la Unidad de convivencia en el sector, bajo el propósito de mitigar las dificultades en convivencia que se presentan entre ellas. 
-	Comuna Nuevo Occidente: el 29 de septiembre en el barrio Las Flores de Ciudadela, se realizó la actividad de postulación del Vecino Ejemplar. 
-	El día 27 de septiembre se llevó a cabo el consejo de convivencia en la urbanización Puerta del sol, en el cual se abordaron temas que están generando discordia con los vecinos habitantes de la urbanización Altos de la Macarena, tales como el uso de un parqueadero y el mal manejo de las basuras. 
-	El día 29 se llevó a cabo un recorrido por los puntos críticos de los alrededores de las instituciones educativas Santa Margarita y Lucitania, con la finalidad de tomar medidas frente a los intentos de violaciones sexuales que se han presentado en dichos lugares. 
-	El 1 de octubre se hizo acompañamiento en la audiencia pública citada por la JAL a los funcionarios de EPM, Emvarias y Subsecretaria de servicios públicos de la Alcaldía de Medellín. Allí se escucharon algunas quejas de inseguridad denunciadas por la comunidad. 
</v>
      </c>
      <c r="H54" t="str">
        <f>+Hoja2!H75</f>
        <v>-	El 28 de septiembre en la urbanización Avellanas se realizó encuentro de acompañamiento psicosocial a grupo de mujeres líderes comunitarias. Este encuentro se dio en el marco del proceso que adelanta la Unidad de convivencia en el sector, bajo el propósito de mitigar las dificultades en convivencia que se presentan entre ellas. Participaron 5 mujeres.
-	Comuna Nuevo Occidente: el 29 de septiembre en el barrio Las Flores de Ciudadela, se realizó la actividad de postulación del Vecino Ejemplar. Impactadas 15 personas.</v>
      </c>
    </row>
    <row r="55" spans="1:8" x14ac:dyDescent="0.2">
      <c r="A55">
        <f>+Hoja2!A76</f>
        <v>203939</v>
      </c>
      <c r="B55" s="8">
        <f>+Hoja2!B55</f>
        <v>44418</v>
      </c>
      <c r="C55">
        <f>+VLOOKUP(D55,DepMaster!$B:$C,2,FALSE)</f>
        <v>732</v>
      </c>
      <c r="D55" t="str">
        <f>+Hoja2!C76</f>
        <v>Secretaría de Seguridad y Convivencia</v>
      </c>
      <c r="E55" s="10" t="str">
        <f>+MID(Hoja2!F76,1,2)</f>
        <v>70</v>
      </c>
      <c r="F55" t="str">
        <f>+MID(Hoja2!F76,4,20)</f>
        <v>ALTAVISTA</v>
      </c>
      <c r="G55" t="str">
        <f>+Hoja2!G76</f>
        <v>-	Articulación con el Ejército Nacional con su componente operativo y social en sectores priorizados de Altavista.</v>
      </c>
      <c r="H55">
        <f>+Hoja2!H76</f>
        <v>0</v>
      </c>
    </row>
    <row r="56" spans="1:8" x14ac:dyDescent="0.2">
      <c r="A56">
        <f>+Hoja2!A77</f>
        <v>203939</v>
      </c>
      <c r="B56" s="8">
        <f>+Hoja2!B56</f>
        <v>44418</v>
      </c>
      <c r="C56">
        <f>+VLOOKUP(D56,DepMaster!$B:$C,2,FALSE)</f>
        <v>732</v>
      </c>
      <c r="D56" t="str">
        <f>+Hoja2!C77</f>
        <v>Secretaría de Seguridad y Convivencia</v>
      </c>
      <c r="E56" s="10" t="str">
        <f>+MID(Hoja2!F77,1,2)</f>
        <v>80</v>
      </c>
      <c r="F56" t="str">
        <f>+MID(Hoja2!F77,4,20)</f>
        <v>SAN ANTONIO DE PRADO</v>
      </c>
      <c r="G56" t="str">
        <f>+Hoja2!G77</f>
        <v xml:space="preserve">-	El 1 de octubre en la vereda La Verde, se realizó socialización del Código Nacional de Seguridad y Convivencia en el marco de la feria de servicio específicamente haciendo un llamado al cumplimiento de la norma y a la corresponsabilidad para la construcción de una sana convivencia donde participó Medellín me Cuida, las Secretarías de Salud, Inclusión Social, Familia y DDHH, Mujeres, Juventud, Centros de Escucha, Gerencia de Diversidad, , Biblioteca José Horacio Betancur, CEDEZO, OPEC, y Gerencia de Corregimientos. Fueron impactadas 30 personas.
-	Se avanza en  plan de supervisión del contrato 4600091659 de 2021 Presupuesto Participativo con la Empresa Metroparques para la ejecución de los recursos de PL y PP 2.021. Inversión $2.604.762.199, correspondiente a las comunas: 1-Popular, 04 Aranjuez, 10 La Candelaria, y 80 Corregimiento de San Antonio de Prado.
</v>
      </c>
      <c r="H56">
        <f>+Hoja2!H77</f>
        <v>0</v>
      </c>
    </row>
    <row r="57" spans="1:8" x14ac:dyDescent="0.2">
      <c r="A57">
        <f>+Hoja2!A78</f>
        <v>203939</v>
      </c>
      <c r="B57" s="8">
        <f>+Hoja2!B57</f>
        <v>44418</v>
      </c>
      <c r="C57">
        <f>+VLOOKUP(D57,DepMaster!$B:$C,2,FALSE)</f>
        <v>732</v>
      </c>
      <c r="D57" t="str">
        <f>+Hoja2!C78</f>
        <v>Secretaría de Seguridad y Convivencia</v>
      </c>
      <c r="E57" s="10" t="str">
        <f>+MID(Hoja2!F78,1,2)</f>
        <v>90</v>
      </c>
      <c r="F57" t="str">
        <f>+MID(Hoja2!F78,4,20)</f>
        <v>SANTA ELENA</v>
      </c>
      <c r="G57" t="str">
        <f>+Hoja2!G78</f>
        <v xml:space="preserve">-	El 29 de septiembre en respuesta al comportamiento contrario a la convivencia, de construcciones ilegales, que se expuso en el Consejo de Convivencia Ciudadana, realizado con habitantes del sector Altos de la Mora de la vereda Piedras Blancas, se realiza articulación interinstitucional  para atender requerimientos, instalando un aviso de prohibición de venta o compra de lotes, en el cual participaron la Gerencia de Corregimientos, la Policía Nacional, el Ejército, la Corregidora, los Comandantes de estación de Villa Hermosa y Santa Elena, Subsecretaría de DDHH, Secretaría de Gestión y Control Territorial. 
-	El 1 de octubre, en articulación con Policía de infancia y adolescencia y la Policía de prevención ciudadana, se realizó actividad pedagógica sobre el código de seguridad y convivencia ciudadana Ley 1801 de 2016, con la estrategia de “concéntrese” a niños de 4 y 5 de primaria de la Institución Educativa Media Luna de la vereda el Plan. 
</v>
      </c>
      <c r="H57" t="str">
        <f>+Hoja2!H78</f>
        <v xml:space="preserve">-	El 29 de septiembre en respuesta al comportamiento contrario a la convivencia, de construcciones ilegales, que se expuso en el Consejo de Convivencia Ciudadana, realizado con habitantes del sector Altos de la Mora de la vereda Piedras Blancas, se realiza articulación interinstitucional  para atender requerimientos, instalando un aviso de prohibición de venta o compra de lotes, en el cual participaron la Gerencia de Corregimientos, la Policía Nacional, el Ejército, la Corregidora, los Comandantes de estación de Villa Hermosa y Santa Elena, Subsecretaría de DDHH, Secretaría de Gestión y Control Territorial. Se impactaron 40 personas. 
-	El 1 de octubre, en articulación con Policía de infancia y adolescencia y la Policía de prevención ciudadana, se realizó actividad pedagógica sobre el código de seguridad y convivencia ciudadana Ley 1801 de 2016, con la estrategia de “concéntrese” a niños de 4 y 5 de primaria de la Institución Educativa Media Luna de la vereda el Plan. Se Impactan 90 Niños.
</v>
      </c>
    </row>
    <row r="58" spans="1:8" x14ac:dyDescent="0.2">
      <c r="A58">
        <f>+Hoja2!A79</f>
        <v>203945</v>
      </c>
      <c r="B58" s="8">
        <f>+Hoja2!B58</f>
        <v>44418</v>
      </c>
      <c r="C58">
        <f>+VLOOKUP(D58,DepMaster!$B:$C,2,FALSE)</f>
        <v>733</v>
      </c>
      <c r="D58" t="str">
        <f>+Hoja2!C79</f>
        <v>Departamento Administrativo de Gestión del Riesgo de Desastres</v>
      </c>
      <c r="E58" s="10" t="str">
        <f>+MID(Hoja2!F79,1,2)</f>
        <v>70</v>
      </c>
      <c r="F58" t="str">
        <f>+MID(Hoja2!F79,4,20)</f>
        <v>ALTAVISTA</v>
      </c>
      <c r="G58" t="str">
        <f>+Hoja2!G79</f>
        <v xml:space="preserve">Participación en Reunión de la mesa interinstitucional C70, la cual será realizada en la casa de gobierno de altavista. En esta reunión se tratarán las actividades a desarrollar para el mes de octubre y el seguimiento de las actividades realizada en el presente mes de septiembre, además de presentar y articular los nuevos funcionarios y contratistas determinados para el trabajo en la comuna. </v>
      </c>
      <c r="H58" t="str">
        <f>+Hoja2!H79</f>
        <v>Sin dato</v>
      </c>
    </row>
    <row r="59" spans="1:8" x14ac:dyDescent="0.2">
      <c r="A59">
        <f>+Hoja2!A80</f>
        <v>204005</v>
      </c>
      <c r="B59" s="8">
        <f>+Hoja2!B59</f>
        <v>44418</v>
      </c>
      <c r="C59">
        <f>+VLOOKUP(D59,DepMaster!$B:$C,2,FALSE)</f>
        <v>711</v>
      </c>
      <c r="D59" t="str">
        <f>+Hoja2!C80</f>
        <v>Secretaría de Educación</v>
      </c>
      <c r="E59" s="10" t="str">
        <f>+MID(Hoja2!F80,1,2)</f>
        <v>04</v>
      </c>
      <c r="F59" t="str">
        <f>+MID(Hoja2!F80,4,20)</f>
        <v>ARANJUEZ</v>
      </c>
      <c r="G59" t="str">
        <f>+Hoja2!G80</f>
        <v xml:space="preserve">Educación T&amp;T
Instituciones educativas que participaron en el taller del MEN "Jóvenes en Alta Voz" el miércoles 29 de septiembre. 
Comuna 2:  3
Comuna 3:  2
Comuna 4: 12 
Comuna 5: 8
Comuna 6: 4
Comuna 7: 6
Comuna 8: 3
Comuna 9: 5
Comuna 10: 1
Comuna 14: 5
Comuna 60:1
Total 50 estudiantes beneficiados.
</v>
      </c>
      <c r="H59" t="str">
        <f>+Hoja2!H80</f>
        <v xml:space="preserve">Educación T&amp;T
Instituciones educativas que participaron en el taller del MEN "Jóvenes en Alta Voz" el miércoles 29 de septiembre. 
Comuna 2:  3
Comuna 3:  2
Comuna 4: 12 
Comuna 5: 8
Comuna 6: 4
Comuna 7: 6
Comuna 8: 3
Comuna 9: 5
Comuna 10: 1
Comuna 14: 5
Comuna 60:1
Total 50 estudiantes beneficiados.
</v>
      </c>
    </row>
    <row r="60" spans="1:8" x14ac:dyDescent="0.2">
      <c r="A60">
        <f>+Hoja2!A81</f>
        <v>204005</v>
      </c>
      <c r="B60" s="8">
        <f>+Hoja2!B60</f>
        <v>44418</v>
      </c>
      <c r="C60">
        <f>+VLOOKUP(D60,DepMaster!$B:$C,2,FALSE)</f>
        <v>711</v>
      </c>
      <c r="D60" t="str">
        <f>+Hoja2!C81</f>
        <v>Secretaría de Educación</v>
      </c>
      <c r="E60" s="10" t="str">
        <f>+MID(Hoja2!F81,1,2)</f>
        <v>03</v>
      </c>
      <c r="F60" t="str">
        <f>+MID(Hoja2!F81,4,20)</f>
        <v>MANRIQUE</v>
      </c>
      <c r="G60" t="str">
        <f>+Hoja2!G81</f>
        <v>Entorno Escolar Protector
Durante esta semana desde el Programa Entorno Escolar Protector, se realizaron las siguientes acciones:
Llamadas para verificación del estado socioemocional de las familias y los estudiantes: 237
Visitas para identificación de algún riesgo psicosocial: 31
Adicionalmente, se realizaron las siguientes atenciones, llamadas y visitas domiciliarias a las comunidades educativas (estudiantes, docentes, directivos docentes y familias), en las 16 comunas y los 5 corregimientos de la ciudad de Medellín.
Comuna 1: 83
comuna 2: 47
Comuna 3: 81
Comuna 4: 57
Comuna 5: 74
Comuna 6: 36
Comuna 7: 111
Comuna 8: 70
Comuna 9: 54
Comuna 10: 15
Comuna 11: 43
Comuna 12: 24
Comuna 13: 56
Comuna 14: 5
Comuna 15: 16
Comuna 16: 69
Comuna 50: 2
Comuna 60: 63
Comuna 70: 15
Comuna 80: 31
Comuna 90: 2
Asimismo, se realizaron 1.650 acciones encaminadas a los procesos transversales del programa: asesoría y asistencia técnica, formación, movilización, gestión y articulación, dirigido a la comunidad educativas y  atenciones psicosociales y los logros territoriales más significativos han sido: 
La línea familia logró crear red de fortalecimiento con 179  Consejos de Padres de  las nstituciones Educativas oficiales de la ciudad de Medellin, dicha red tiene como objetivo tener mayor comunicación y vinculación con las familias, compartir información, invitaciones especiales y recibir recomendaciones de las Familias.
La línea familia ha logrado que el indicador del plan de desarrollo "Instituciones Educativas Oficiales con proyectos de familia diseñados o actualizados" se encuentre en un 62% que corresponde a 141 Instituciones Educativas con Proyectos de familia.
Ambientes y Entornos para el Aprendizaje
Se logra el apoyo a procesos de asesoría  y asistencia técnica en  8  aulas  de Modelos Flexibles pertenecientes a las siguientes instituciones educativas : 
Francisco Miranda: Comuna 3  
Santa  Cruz: comuna  2:</v>
      </c>
      <c r="H60" t="str">
        <f>+Hoja2!H81</f>
        <v>Entorno Escolar Protector
Durante esta semana desde el Programa Entorno Escolar Protector, se realizaron las siguientes acciones:
Llamadas para verificación del estado socioemocional de las familias y los estudiantes: 237
Visitas para identificación de algún riesgo psicosocial: 31
Adicionalmente, se realizaron las siguientes atenciones, llamadas y visitas domiciliarias a las comunidades educativas (estudiantes, docentes, directivos docentes y familias), en las 16 comunas y los 5 corregimientos de la ciudad de Medellín.
Comuna 1: 83
comuna 2: 47
Comuna 3: 81
Comuna 4: 57
Comuna 5: 74
Comuna 6: 36
Comuna 7: 111
Comuna 8: 70
Comuna 9: 54
Comuna 10: 15
Comuna 11: 43
Comuna 12: 24
Comuna 13: 56
Comuna 14: 5
Comuna 15: 16
Comuna 16: 69
Comuna 50: 2
Comuna 60: 63
Comuna 70: 15
Comuna 80: 31
Comuna 90: 2
Asimismo, se realizaron 1.650 acciones encaminadas a los procesos transversales del programa: asesoría y asistencia técnica, formación, movilización, gestión y articulación, dirigido a la comunidad educativas y  atenciones psicosociales y los logros territoriales más significativos han sido: 
La línea familia logró crear red de fortalecimiento con 179  Consejos de Padres de  las nstituciones Educativas oficiales de la ciudad de Medellin, dicha red tiene como objetivo tener mayor comunicación y vinculación con las familias, compartir información, invitaciones especiales y recibir recomendaciones de las Familias.
La línea familia ha logrado que el indicador del plan de desarrollo "Instituciones Educativas Oficiales con proyectos de familia diseñados o actualizados" se encuentre en un 62% que corresponde a 141 Instituciones Educativas con Proyectos de familia.
Ambientes y Entornos para el Aprendizaje
Se logra el apoyo a procesos de asesoría  y asistencia técnica en  8  aulas  de Modelos Flexibles pertenecientes a las siguientes instituciones educativas : 
Francisco Miranda: Comuna 3  
Santa  Cruz: comuna  2:</v>
      </c>
    </row>
    <row r="61" spans="1:8" x14ac:dyDescent="0.2">
      <c r="A61">
        <f>+Hoja2!A82</f>
        <v>204005</v>
      </c>
      <c r="B61" s="8">
        <f>+Hoja2!B61</f>
        <v>44418</v>
      </c>
      <c r="C61">
        <f>+VLOOKUP(D61,DepMaster!$B:$C,2,FALSE)</f>
        <v>711</v>
      </c>
      <c r="D61" t="str">
        <f>+Hoja2!C82</f>
        <v>Secretaría de Educación</v>
      </c>
      <c r="E61" s="10" t="str">
        <f>+MID(Hoja2!F82,1,2)</f>
        <v>07</v>
      </c>
      <c r="F61" t="str">
        <f>+MID(Hoja2!F82,4,20)</f>
        <v>ROBLEDO</v>
      </c>
      <c r="G61" t="str">
        <f>+Hoja2!G82</f>
        <v>Acceso y Cobertura                                                             Participación en feria de servicios programadas por la Personería, Secretaría de Gobierno y Entorno Escolar Protector en las comunas 3, 7, 8 y 9, teniendo como logro mas significativo, informar a la comunidad sobre la oferta educativa y las rutas de acceso al sistema educativo.</v>
      </c>
      <c r="H61" t="str">
        <f>+Hoja2!H82</f>
        <v>Acceso y Cobertura                                                             Participación en feria de servicios programadas por la Personería, Secretaría de Gobierno y Entorno Escolar Protector en las comunas 3, 7, 8 y 9, teniendo como logro mas significativo, informar a la comunidad sobre la oferta educativa y las rutas de acceso al sistema educativo.</v>
      </c>
    </row>
    <row r="62" spans="1:8" x14ac:dyDescent="0.2">
      <c r="A62">
        <f>+Hoja2!A83</f>
        <v>204013</v>
      </c>
      <c r="B62" s="8">
        <f>+Hoja2!B62</f>
        <v>44418</v>
      </c>
      <c r="C62">
        <f>+VLOOKUP(D62,DepMaster!$B:$C,2,FALSE)</f>
        <v>733</v>
      </c>
      <c r="D62" t="str">
        <f>+Hoja2!C83</f>
        <v>Departamento Administrativo de Gestión del Riesgo de Desastres</v>
      </c>
      <c r="E62" s="10" t="str">
        <f>+MID(Hoja2!F83,1,2)</f>
        <v>01</v>
      </c>
      <c r="F62" t="str">
        <f>+MID(Hoja2!F83,4,20)</f>
        <v>POPULAR</v>
      </c>
      <c r="G62" t="str">
        <f>+Hoja2!G83</f>
        <v>.</v>
      </c>
      <c r="H62" t="str">
        <f>+Hoja2!H83</f>
        <v>.</v>
      </c>
    </row>
    <row r="63" spans="1:8" x14ac:dyDescent="0.2">
      <c r="A63">
        <f>+Hoja2!A84</f>
        <v>204033</v>
      </c>
      <c r="B63" s="8">
        <f>+Hoja2!B63</f>
        <v>44418</v>
      </c>
      <c r="C63">
        <f>+VLOOKUP(D63,DepMaster!$B:$C,2,FALSE)</f>
        <v>713</v>
      </c>
      <c r="D63" t="str">
        <f>+Hoja2!C84</f>
        <v>Secretaría de Cultura Ciudadanía</v>
      </c>
      <c r="E63" s="10" t="str">
        <f>+MID(Hoja2!F84,1,2)</f>
        <v>01</v>
      </c>
      <c r="F63" t="str">
        <f>+MID(Hoja2!F84,4,20)</f>
        <v>POPULAR</v>
      </c>
      <c r="G63">
        <f>+Hoja2!G84</f>
        <v>0</v>
      </c>
      <c r="H63">
        <f>+Hoja2!H84</f>
        <v>0</v>
      </c>
    </row>
    <row r="64" spans="1:8" x14ac:dyDescent="0.2">
      <c r="A64">
        <f>+Hoja2!A85</f>
        <v>204084</v>
      </c>
      <c r="B64" s="8">
        <f>+Hoja2!B64</f>
        <v>44418</v>
      </c>
      <c r="C64">
        <f>+VLOOKUP(D64,DepMaster!$B:$C,2,FALSE)</f>
        <v>753</v>
      </c>
      <c r="D64" t="str">
        <f>+Hoja2!C85</f>
        <v>Gerencia de Corregimientos</v>
      </c>
      <c r="E64" s="10" t="str">
        <f>+MID(Hoja2!F85,1,2)</f>
        <v>60</v>
      </c>
      <c r="F64" t="str">
        <f>+MID(Hoja2!F85,4,20)</f>
        <v>SAN CRISTOBAL</v>
      </c>
      <c r="G64" t="str">
        <f>+Hoja2!G85</f>
        <v>Se sigue avanzando en las obras del puente que va comunicar la vereda el Naranjal y Boquerón del corregimiento de San Cristóbal.</v>
      </c>
      <c r="H64" t="str">
        <f>+Hoja2!H85</f>
        <v>N/A</v>
      </c>
    </row>
    <row r="65" spans="1:8" x14ac:dyDescent="0.2">
      <c r="A65">
        <f>+Hoja2!A86</f>
        <v>204084</v>
      </c>
      <c r="B65" s="8">
        <f>+Hoja2!B65</f>
        <v>44418</v>
      </c>
      <c r="C65">
        <f>+VLOOKUP(D65,DepMaster!$B:$C,2,FALSE)</f>
        <v>753</v>
      </c>
      <c r="D65" t="str">
        <f>+Hoja2!C86</f>
        <v>Gerencia de Corregimientos</v>
      </c>
      <c r="E65" s="10" t="str">
        <f>+MID(Hoja2!F86,1,2)</f>
        <v>50</v>
      </c>
      <c r="F65" t="str">
        <f>+MID(Hoja2!F86,4,20)</f>
        <v>PALMITAS</v>
      </c>
      <c r="G65" t="str">
        <f>+Hoja2!G86</f>
        <v xml:space="preserve">Se acercó la oferta institucional de educación superior de las Instituciones Educativas de Educación superior (ITM - Colegio Mayor - Pascual Bravo) en articulación con sapiencia, para los estudiante de la IE Hector Rogelio Ramirez del corregimiento. </v>
      </c>
      <c r="H65" t="str">
        <f>+Hoja2!H86</f>
        <v xml:space="preserve">80 estudiantes </v>
      </c>
    </row>
    <row r="66" spans="1:8" x14ac:dyDescent="0.2">
      <c r="A66">
        <f>+Hoja2!A87</f>
        <v>204084</v>
      </c>
      <c r="B66" s="8">
        <f>+Hoja2!B66</f>
        <v>44418</v>
      </c>
      <c r="C66">
        <f>+VLOOKUP(D66,DepMaster!$B:$C,2,FALSE)</f>
        <v>753</v>
      </c>
      <c r="D66" t="str">
        <f>+Hoja2!C87</f>
        <v>Gerencia de Corregimientos</v>
      </c>
      <c r="E66" s="10" t="str">
        <f>+MID(Hoja2!F87,1,2)</f>
        <v>90</v>
      </c>
      <c r="F66" t="str">
        <f>+MID(Hoja2!F87,4,20)</f>
        <v>SANTA ELENA</v>
      </c>
      <c r="G66" t="str">
        <f>+Hoja2!G87</f>
        <v>Inauguración del acueducto comunitario en la vereda el llano del corregimiento de Santa Elena.</v>
      </c>
      <c r="H66">
        <f>+Hoja2!H87</f>
        <v>0</v>
      </c>
    </row>
    <row r="67" spans="1:8" x14ac:dyDescent="0.2">
      <c r="A67">
        <f>+Hoja2!A88</f>
        <v>204110</v>
      </c>
      <c r="B67" s="8">
        <f>+Hoja2!B67</f>
        <v>44418</v>
      </c>
      <c r="C67">
        <f>+VLOOKUP(D67,DepMaster!$B:$C,2,FALSE)</f>
        <v>752</v>
      </c>
      <c r="D67" t="str">
        <f>+Hoja2!C88</f>
        <v>Secretaria de Innovación Digital</v>
      </c>
      <c r="E67" s="10" t="str">
        <f>+MID(Hoja2!F88,1,2)</f>
        <v>13</v>
      </c>
      <c r="F67" t="str">
        <f>+MID(Hoja2!F88,4,20)</f>
        <v>SAN JAVIER</v>
      </c>
      <c r="G67" t="str">
        <f>+Hoja2!G88</f>
        <v xml:space="preserve">Conexión a 500 familias. </v>
      </c>
      <c r="H67" t="str">
        <f>+Hoja2!H88</f>
        <v>Más de 2000 personas</v>
      </c>
    </row>
    <row r="68" spans="1:8" x14ac:dyDescent="0.2">
      <c r="A68">
        <f>+Hoja2!A89</f>
        <v>204113</v>
      </c>
      <c r="B68" s="8">
        <f>+Hoja2!B68</f>
        <v>44418</v>
      </c>
      <c r="C68">
        <f>+VLOOKUP(D68,DepMaster!$B:$C,2,FALSE)</f>
        <v>705</v>
      </c>
      <c r="D68" t="str">
        <f>+Hoja2!C89</f>
        <v>Secretaría General</v>
      </c>
      <c r="E68" s="10" t="str">
        <f>+MID(Hoja2!F89,1,2)</f>
        <v>10</v>
      </c>
      <c r="F68" t="str">
        <f>+MID(Hoja2!F89,4,20)</f>
        <v>LA CANDELARIA</v>
      </c>
      <c r="G68" t="str">
        <f>+Hoja2!G89</f>
        <v>N/A</v>
      </c>
      <c r="H68" t="str">
        <f>+Hoja2!H89</f>
        <v>N/A</v>
      </c>
    </row>
    <row r="69" spans="1:8" x14ac:dyDescent="0.2">
      <c r="A69">
        <f>+Hoja2!A90</f>
        <v>204126</v>
      </c>
      <c r="B69" s="8">
        <f>+Hoja2!B69</f>
        <v>44418</v>
      </c>
      <c r="C69">
        <f>+VLOOKUP(D69,DepMaster!$B:$C,2,FALSE)</f>
        <v>706</v>
      </c>
      <c r="D69" t="str">
        <f>+Hoja2!C90</f>
        <v>Secretaría de Gestión Humana y Servicio a la Ciudadanía</v>
      </c>
      <c r="E69" s="10" t="str">
        <f>+MID(Hoja2!F90,1,2)</f>
        <v>10</v>
      </c>
      <c r="F69" t="str">
        <f>+MID(Hoja2!F90,4,20)</f>
        <v>LA CANDELARIA</v>
      </c>
      <c r="G69" t="str">
        <f>+Hoja2!G90</f>
        <v>N/A</v>
      </c>
      <c r="H69" t="str">
        <f>+Hoja2!H90</f>
        <v>N/A</v>
      </c>
    </row>
    <row r="70" spans="1:8" x14ac:dyDescent="0.2">
      <c r="A70">
        <f>+Hoja2!A91</f>
        <v>204139</v>
      </c>
      <c r="B70" s="8">
        <f>+Hoja2!B70</f>
        <v>44418</v>
      </c>
      <c r="C70">
        <f>+VLOOKUP(D70,DepMaster!$B:$C,2,FALSE)</f>
        <v>707</v>
      </c>
      <c r="D70" t="str">
        <f>+Hoja2!C91</f>
        <v>Secretaría de Servicios y Suministros</v>
      </c>
      <c r="E70" s="10" t="str">
        <f>+MID(Hoja2!F91,1,2)</f>
        <v>13</v>
      </c>
      <c r="F70" t="str">
        <f>+MID(Hoja2!F91,4,20)</f>
        <v>SAN JAVIER</v>
      </c>
      <c r="G70" t="str">
        <f>+Hoja2!G91</f>
        <v>Ruta de Medellín Cuida lo Público – Centro de Desarrollo Cultural Moravia, Parque Biblioteca San Javier</v>
      </c>
      <c r="H70" t="str">
        <f>+Hoja2!H91</f>
        <v>N/A</v>
      </c>
    </row>
    <row r="71" spans="1:8" x14ac:dyDescent="0.2">
      <c r="A71">
        <f>+Hoja2!A92</f>
        <v>204139</v>
      </c>
      <c r="B71" s="8">
        <f>+Hoja2!B71</f>
        <v>44418</v>
      </c>
      <c r="C71">
        <f>+VLOOKUP(D71,DepMaster!$B:$C,2,FALSE)</f>
        <v>707</v>
      </c>
      <c r="D71" t="str">
        <f>+Hoja2!C92</f>
        <v>Secretaría de Servicios y Suministros</v>
      </c>
      <c r="E71" s="10" t="str">
        <f>+MID(Hoja2!F92,1,2)</f>
        <v>15</v>
      </c>
      <c r="F71" t="str">
        <f>+MID(Hoja2!F92,4,20)</f>
        <v>GUAYABAL</v>
      </c>
      <c r="G71" t="str">
        <f>+Hoja2!G92</f>
        <v>Ruta de Medellín Cuida lo Público: Parque Cristo Rey</v>
      </c>
      <c r="H71" t="str">
        <f>+Hoja2!H92</f>
        <v>N/A</v>
      </c>
    </row>
    <row r="72" spans="1:8" x14ac:dyDescent="0.2">
      <c r="A72">
        <f>+Hoja2!A93</f>
        <v>204139</v>
      </c>
      <c r="B72" s="8">
        <f>+Hoja2!B72</f>
        <v>44418</v>
      </c>
      <c r="C72">
        <f>+VLOOKUP(D72,DepMaster!$B:$C,2,FALSE)</f>
        <v>707</v>
      </c>
      <c r="D72" t="str">
        <f>+Hoja2!C93</f>
        <v>Secretaría de Servicios y Suministros</v>
      </c>
      <c r="E72" s="10" t="str">
        <f>+MID(Hoja2!F93,1,2)</f>
        <v>10</v>
      </c>
      <c r="F72" t="str">
        <f>+MID(Hoja2!F93,4,20)</f>
        <v>LA CANDELARIA</v>
      </c>
      <c r="G72" t="str">
        <f>+Hoja2!G93</f>
        <v>Ruta de Medellín Cuida lo Público: Parque San Antonio,</v>
      </c>
      <c r="H72" t="str">
        <f>+Hoja2!H93</f>
        <v>n/A</v>
      </c>
    </row>
  </sheetData>
  <autoFilter ref="A1:H77" xr:uid="{00000000-0001-0000-02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C27"/>
  <sheetViews>
    <sheetView workbookViewId="0">
      <selection activeCell="B27" sqref="B27"/>
    </sheetView>
  </sheetViews>
  <sheetFormatPr baseColWidth="10" defaultRowHeight="15" x14ac:dyDescent="0.2"/>
  <cols>
    <col min="2" max="2" width="55.1640625" bestFit="1" customWidth="1"/>
  </cols>
  <sheetData>
    <row r="1" spans="2:3" x14ac:dyDescent="0.2">
      <c r="B1" t="s">
        <v>121</v>
      </c>
      <c r="C1" t="s">
        <v>126</v>
      </c>
    </row>
    <row r="2" spans="2:3" x14ac:dyDescent="0.2">
      <c r="B2" t="s">
        <v>73</v>
      </c>
      <c r="C2">
        <v>761</v>
      </c>
    </row>
    <row r="3" spans="2:3" x14ac:dyDescent="0.2">
      <c r="B3" t="s">
        <v>68</v>
      </c>
      <c r="C3">
        <v>956</v>
      </c>
    </row>
    <row r="4" spans="2:3" x14ac:dyDescent="0.2">
      <c r="B4" t="s">
        <v>76</v>
      </c>
      <c r="C4">
        <v>723</v>
      </c>
    </row>
    <row r="5" spans="2:3" x14ac:dyDescent="0.2">
      <c r="B5" t="s">
        <v>78</v>
      </c>
      <c r="C5">
        <v>751</v>
      </c>
    </row>
    <row r="6" spans="2:3" x14ac:dyDescent="0.2">
      <c r="B6" t="s">
        <v>85</v>
      </c>
      <c r="C6">
        <v>762</v>
      </c>
    </row>
    <row r="7" spans="2:3" x14ac:dyDescent="0.2">
      <c r="B7" t="s">
        <v>87</v>
      </c>
      <c r="C7">
        <v>742</v>
      </c>
    </row>
    <row r="8" spans="2:3" x14ac:dyDescent="0.2">
      <c r="B8" t="s">
        <v>92</v>
      </c>
      <c r="C8">
        <v>705</v>
      </c>
    </row>
    <row r="9" spans="2:3" x14ac:dyDescent="0.2">
      <c r="B9" t="s">
        <v>93</v>
      </c>
      <c r="C9">
        <v>703</v>
      </c>
    </row>
    <row r="10" spans="2:3" x14ac:dyDescent="0.2">
      <c r="B10" t="s">
        <v>95</v>
      </c>
      <c r="C10">
        <v>732</v>
      </c>
    </row>
    <row r="11" spans="2:3" x14ac:dyDescent="0.2">
      <c r="B11" t="s">
        <v>100</v>
      </c>
      <c r="C11">
        <v>724</v>
      </c>
    </row>
    <row r="12" spans="2:3" x14ac:dyDescent="0.2">
      <c r="B12" t="s">
        <v>101</v>
      </c>
      <c r="C12">
        <v>771</v>
      </c>
    </row>
    <row r="13" spans="2:3" x14ac:dyDescent="0.2">
      <c r="B13" t="s">
        <v>103</v>
      </c>
      <c r="C13">
        <v>711</v>
      </c>
    </row>
    <row r="14" spans="2:3" x14ac:dyDescent="0.2">
      <c r="B14" t="s">
        <v>104</v>
      </c>
      <c r="C14">
        <v>706</v>
      </c>
    </row>
    <row r="15" spans="2:3" x14ac:dyDescent="0.2">
      <c r="B15" t="s">
        <v>105</v>
      </c>
      <c r="C15">
        <v>714</v>
      </c>
    </row>
    <row r="16" spans="2:3" x14ac:dyDescent="0.2">
      <c r="B16" t="s">
        <v>106</v>
      </c>
      <c r="C16">
        <v>752</v>
      </c>
    </row>
    <row r="17" spans="2:3" x14ac:dyDescent="0.2">
      <c r="B17" t="s">
        <v>107</v>
      </c>
      <c r="C17">
        <v>722</v>
      </c>
    </row>
    <row r="18" spans="2:3" x14ac:dyDescent="0.2">
      <c r="B18" t="s">
        <v>108</v>
      </c>
      <c r="C18">
        <v>753</v>
      </c>
    </row>
    <row r="19" spans="2:3" x14ac:dyDescent="0.2">
      <c r="B19" t="s">
        <v>109</v>
      </c>
      <c r="C19">
        <v>713</v>
      </c>
    </row>
    <row r="20" spans="2:3" x14ac:dyDescent="0.2">
      <c r="B20" t="s">
        <v>102</v>
      </c>
      <c r="C20">
        <v>954</v>
      </c>
    </row>
    <row r="21" spans="2:3" x14ac:dyDescent="0.2">
      <c r="B21" t="s">
        <v>110</v>
      </c>
      <c r="C21">
        <v>741</v>
      </c>
    </row>
    <row r="22" spans="2:3" x14ac:dyDescent="0.2">
      <c r="B22" t="s">
        <v>111</v>
      </c>
      <c r="C22">
        <v>743</v>
      </c>
    </row>
    <row r="23" spans="2:3" x14ac:dyDescent="0.2">
      <c r="B23" t="s">
        <v>113</v>
      </c>
      <c r="C23">
        <v>721</v>
      </c>
    </row>
    <row r="24" spans="2:3" x14ac:dyDescent="0.2">
      <c r="B24" t="s">
        <v>114</v>
      </c>
      <c r="C24">
        <v>733</v>
      </c>
    </row>
    <row r="25" spans="2:3" x14ac:dyDescent="0.2">
      <c r="B25" t="s">
        <v>116</v>
      </c>
      <c r="C25">
        <v>712</v>
      </c>
    </row>
    <row r="26" spans="2:3" x14ac:dyDescent="0.2">
      <c r="B26" t="s">
        <v>117</v>
      </c>
      <c r="C26">
        <v>707</v>
      </c>
    </row>
    <row r="27" spans="2:3" x14ac:dyDescent="0.2">
      <c r="B27" t="s">
        <v>130</v>
      </c>
      <c r="C27">
        <v>702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Hoja1</vt:lpstr>
      <vt:lpstr>Hoja2</vt:lpstr>
      <vt:lpstr>Hoja3</vt:lpstr>
      <vt:lpstr>DepMaster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Vanessa Gonzalez Londoño</dc:creator>
  <cp:lastModifiedBy>Microsoft Office User</cp:lastModifiedBy>
  <dcterms:created xsi:type="dcterms:W3CDTF">2021-08-04T14:47:36Z</dcterms:created>
  <dcterms:modified xsi:type="dcterms:W3CDTF">2021-10-11T14:04:31Z</dcterms:modified>
</cp:coreProperties>
</file>