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2" codeName="{D272C609-87CA-5A14-B04D-65DF03BDDAF1}"/>
  <workbookPr codeName="ThisWorkbook"/>
  <mc:AlternateContent xmlns:mc="http://schemas.openxmlformats.org/markup-compatibility/2006">
    <mc:Choice Requires="x15">
      <x15ac:absPath xmlns:x15ac="http://schemas.microsoft.com/office/spreadsheetml/2010/11/ac" url="/Users/juliocesarmendoza/Desktop/pipApp/Backend-pi/src/public/uploads/"/>
    </mc:Choice>
  </mc:AlternateContent>
  <xr:revisionPtr revIDLastSave="0" documentId="13_ncr:1_{6D978CC6-E3B2-3245-8EA7-40788BF4B3AB}" xr6:coauthVersionLast="47" xr6:coauthVersionMax="47" xr10:uidLastSave="{00000000-0000-0000-0000-000000000000}"/>
  <bookViews>
    <workbookView xWindow="4600" yWindow="1360" windowWidth="38400" windowHeight="21100" activeTab="2" xr2:uid="{00000000-000D-0000-FFFF-FFFF00000000}"/>
  </bookViews>
  <sheets>
    <sheet name="Hoja1" sheetId="1" r:id="rId1"/>
    <sheet name="Hoja2" sheetId="2" r:id="rId2"/>
    <sheet name="Hoja3" sheetId="3" r:id="rId3"/>
    <sheet name="DepMaster" sheetId="4" r:id="rId4"/>
  </sheets>
  <definedNames>
    <definedName name="_xlnm._FilterDatabase" localSheetId="2" hidden="1">Hoja3!$A$1:$H$100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2" i="3" l="1"/>
  <c r="A92" i="3"/>
  <c r="B91" i="3"/>
  <c r="A91" i="3"/>
  <c r="B90" i="3"/>
  <c r="A90" i="3"/>
  <c r="B89" i="3"/>
  <c r="A89" i="3"/>
  <c r="B88" i="3"/>
  <c r="A88" i="3"/>
  <c r="B87" i="3"/>
  <c r="A87" i="3"/>
  <c r="B86" i="3"/>
  <c r="A86" i="3"/>
  <c r="B85" i="3"/>
  <c r="A85" i="3"/>
  <c r="B84" i="3"/>
  <c r="A84" i="3"/>
  <c r="B83" i="3"/>
  <c r="A83" i="3"/>
  <c r="B82" i="3"/>
  <c r="A82" i="3"/>
  <c r="B81" i="3"/>
  <c r="A81" i="3"/>
  <c r="E81" i="3"/>
  <c r="F81" i="3"/>
  <c r="G81" i="3"/>
  <c r="H81" i="3"/>
  <c r="E82" i="3"/>
  <c r="F82" i="3"/>
  <c r="G82" i="3"/>
  <c r="H82" i="3"/>
  <c r="E83" i="3"/>
  <c r="F83" i="3"/>
  <c r="G83" i="3"/>
  <c r="H83" i="3"/>
  <c r="E84" i="3"/>
  <c r="F84" i="3"/>
  <c r="G84" i="3"/>
  <c r="H84" i="3"/>
  <c r="E85" i="3"/>
  <c r="F85" i="3"/>
  <c r="G85" i="3"/>
  <c r="H85" i="3"/>
  <c r="E86" i="3"/>
  <c r="F86" i="3"/>
  <c r="G86" i="3"/>
  <c r="H86" i="3"/>
  <c r="E87" i="3"/>
  <c r="F87" i="3"/>
  <c r="G87" i="3"/>
  <c r="H87" i="3"/>
  <c r="E88" i="3"/>
  <c r="F88" i="3"/>
  <c r="G88" i="3"/>
  <c r="H88" i="3"/>
  <c r="E89" i="3"/>
  <c r="F89" i="3"/>
  <c r="G89" i="3"/>
  <c r="H89" i="3"/>
  <c r="E90" i="3"/>
  <c r="F90" i="3"/>
  <c r="G90" i="3"/>
  <c r="H90" i="3"/>
  <c r="E91" i="3"/>
  <c r="F91" i="3"/>
  <c r="G91" i="3"/>
  <c r="H91" i="3"/>
  <c r="E92" i="3"/>
  <c r="F92" i="3"/>
  <c r="G92" i="3"/>
  <c r="H92" i="3"/>
  <c r="D81" i="3"/>
  <c r="C81" i="3" s="1"/>
  <c r="D82" i="3"/>
  <c r="C82" i="3" s="1"/>
  <c r="D83" i="3"/>
  <c r="C83" i="3" s="1"/>
  <c r="D84" i="3"/>
  <c r="C84" i="3" s="1"/>
  <c r="D85" i="3"/>
  <c r="C85" i="3" s="1"/>
  <c r="D86" i="3"/>
  <c r="C86" i="3" s="1"/>
  <c r="D87" i="3"/>
  <c r="C87" i="3" s="1"/>
  <c r="D88" i="3"/>
  <c r="C88" i="3" s="1"/>
  <c r="D89" i="3"/>
  <c r="C89" i="3" s="1"/>
  <c r="D90" i="3"/>
  <c r="C90" i="3" s="1"/>
  <c r="D91" i="3"/>
  <c r="C91" i="3" s="1"/>
  <c r="D92" i="3"/>
  <c r="C92" i="3" s="1"/>
  <c r="D2" i="3"/>
  <c r="D3" i="3"/>
  <c r="D4" i="3"/>
  <c r="D5" i="3"/>
  <c r="D6" i="3"/>
  <c r="D7" i="3"/>
  <c r="C7" i="3" s="1"/>
  <c r="D8" i="3"/>
  <c r="C8" i="3" s="1"/>
  <c r="D9" i="3"/>
  <c r="C9" i="3" s="1"/>
  <c r="D10" i="3"/>
  <c r="C10" i="3" s="1"/>
  <c r="D11" i="3"/>
  <c r="C11" i="3" s="1"/>
  <c r="D12" i="3"/>
  <c r="D13" i="3"/>
  <c r="D14" i="3"/>
  <c r="C14" i="3" s="1"/>
  <c r="D15" i="3"/>
  <c r="C15" i="3" s="1"/>
  <c r="D16" i="3"/>
  <c r="C16" i="3" s="1"/>
  <c r="D17" i="3"/>
  <c r="C17" i="3" s="1"/>
  <c r="D18" i="3"/>
  <c r="D19" i="3"/>
  <c r="D20" i="3"/>
  <c r="C20" i="3" s="1"/>
  <c r="D21" i="3"/>
  <c r="C21" i="3" s="1"/>
  <c r="D22" i="3"/>
  <c r="C22" i="3" s="1"/>
  <c r="D23" i="3"/>
  <c r="C23" i="3" s="1"/>
  <c r="D24" i="3"/>
  <c r="D25" i="3"/>
  <c r="D26" i="3"/>
  <c r="C26" i="3" s="1"/>
  <c r="D27" i="3"/>
  <c r="C27" i="3" s="1"/>
  <c r="D28" i="3"/>
  <c r="C28" i="3" s="1"/>
  <c r="D29" i="3"/>
  <c r="C29" i="3" s="1"/>
  <c r="D30" i="3"/>
  <c r="D31" i="3"/>
  <c r="C31" i="3" s="1"/>
  <c r="D32" i="3"/>
  <c r="C32" i="3" s="1"/>
  <c r="D33" i="3"/>
  <c r="C33" i="3" s="1"/>
  <c r="D34" i="3"/>
  <c r="C34" i="3" s="1"/>
  <c r="D35" i="3"/>
  <c r="C35" i="3" s="1"/>
  <c r="D36" i="3"/>
  <c r="D37" i="3"/>
  <c r="C37" i="3" s="1"/>
  <c r="D38" i="3"/>
  <c r="C38" i="3" s="1"/>
  <c r="D39" i="3"/>
  <c r="C39" i="3" s="1"/>
  <c r="D40" i="3"/>
  <c r="C40" i="3" s="1"/>
  <c r="D41" i="3"/>
  <c r="C41" i="3" s="1"/>
  <c r="D42" i="3"/>
  <c r="D43" i="3"/>
  <c r="C43" i="3" s="1"/>
  <c r="D44" i="3"/>
  <c r="C44" i="3" s="1"/>
  <c r="D45" i="3"/>
  <c r="C45" i="3" s="1"/>
  <c r="D46" i="3"/>
  <c r="C46" i="3" s="1"/>
  <c r="D47" i="3"/>
  <c r="C47" i="3" s="1"/>
  <c r="D48" i="3"/>
  <c r="D49" i="3"/>
  <c r="C49" i="3" s="1"/>
  <c r="D50" i="3"/>
  <c r="C50" i="3" s="1"/>
  <c r="D51" i="3"/>
  <c r="C51" i="3" s="1"/>
  <c r="D52" i="3"/>
  <c r="C52" i="3" s="1"/>
  <c r="D53" i="3"/>
  <c r="C53" i="3" s="1"/>
  <c r="D54" i="3"/>
  <c r="D55" i="3"/>
  <c r="D56" i="3"/>
  <c r="C56" i="3" s="1"/>
  <c r="D57" i="3"/>
  <c r="C57" i="3" s="1"/>
  <c r="D58" i="3"/>
  <c r="C58" i="3" s="1"/>
  <c r="D59" i="3"/>
  <c r="C59" i="3" s="1"/>
  <c r="D60" i="3"/>
  <c r="D61" i="3"/>
  <c r="C61" i="3" s="1"/>
  <c r="D62" i="3"/>
  <c r="C62" i="3" s="1"/>
  <c r="D63" i="3"/>
  <c r="C63" i="3" s="1"/>
  <c r="D64" i="3"/>
  <c r="C64" i="3" s="1"/>
  <c r="D65" i="3"/>
  <c r="C65" i="3" s="1"/>
  <c r="D66" i="3"/>
  <c r="D67" i="3"/>
  <c r="C67" i="3" s="1"/>
  <c r="D68" i="3"/>
  <c r="C68" i="3" s="1"/>
  <c r="D69" i="3"/>
  <c r="C69" i="3" s="1"/>
  <c r="D70" i="3"/>
  <c r="C70" i="3" s="1"/>
  <c r="D71" i="3"/>
  <c r="C71" i="3" s="1"/>
  <c r="D72" i="3"/>
  <c r="D73" i="3"/>
  <c r="C73" i="3" s="1"/>
  <c r="D74" i="3"/>
  <c r="C74" i="3" s="1"/>
  <c r="D75" i="3"/>
  <c r="C75" i="3" s="1"/>
  <c r="D76" i="3"/>
  <c r="C76" i="3" s="1"/>
  <c r="D77" i="3"/>
  <c r="C77" i="3" s="1"/>
  <c r="D78" i="3"/>
  <c r="D79" i="3"/>
  <c r="C79" i="3" s="1"/>
  <c r="D80" i="3"/>
  <c r="C80" i="3" s="1"/>
  <c r="C12" i="3"/>
  <c r="C13" i="3"/>
  <c r="C18" i="3"/>
  <c r="C19" i="3"/>
  <c r="C24" i="3"/>
  <c r="C25" i="3"/>
  <c r="C30" i="3"/>
  <c r="C36" i="3"/>
  <c r="C42" i="3"/>
  <c r="C48" i="3"/>
  <c r="C54" i="3"/>
  <c r="C55" i="3"/>
  <c r="C60" i="3"/>
  <c r="C66" i="3"/>
  <c r="C72" i="3"/>
  <c r="C78" i="3"/>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G80" i="3" l="1"/>
  <c r="H80" i="3"/>
  <c r="E80" i="3"/>
  <c r="F80" i="3"/>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G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E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alcChain>
</file>

<file path=xl/sharedStrings.xml><?xml version="1.0" encoding="utf-8"?>
<sst xmlns="http://schemas.openxmlformats.org/spreadsheetml/2006/main" count="1318" uniqueCount="246">
  <si>
    <t>NOMBRE</t>
  </si>
  <si>
    <t>FECHA</t>
  </si>
  <si>
    <t>Dependencia/Gerencia/Depa</t>
  </si>
  <si>
    <t>Nombre_Secretario/Dir/Gere</t>
  </si>
  <si>
    <t>Cargo_específico</t>
  </si>
  <si>
    <t>a)_Comuna_1:</t>
  </si>
  <si>
    <t>b)_Logro_1:</t>
  </si>
  <si>
    <t>c)_Cifras_1</t>
  </si>
  <si>
    <t>a)_Comuna_2:</t>
  </si>
  <si>
    <t>b)_Logro_2:</t>
  </si>
  <si>
    <t>c)_Cifras_2</t>
  </si>
  <si>
    <t>a)_Comuna_3:</t>
  </si>
  <si>
    <t>b)_Logro_3:</t>
  </si>
  <si>
    <t>c)_Cifras_3</t>
  </si>
  <si>
    <t>a)_Comuna_4:</t>
  </si>
  <si>
    <t>b)_Logro_4:</t>
  </si>
  <si>
    <t>c)_Cifras_4</t>
  </si>
  <si>
    <t>a)_Comuna_5:</t>
  </si>
  <si>
    <t>b)_Logro_5:</t>
  </si>
  <si>
    <t>c)_Cifras_5</t>
  </si>
  <si>
    <t>a)_Comuna_6:</t>
  </si>
  <si>
    <t>b)_Logro_6:</t>
  </si>
  <si>
    <t>c)_Cifras_6</t>
  </si>
  <si>
    <t>a)_Comuna_7:</t>
  </si>
  <si>
    <t>b)_Logro_7:</t>
  </si>
  <si>
    <t>c)_Cifras_7</t>
  </si>
  <si>
    <t>a)_Comuna_8:</t>
  </si>
  <si>
    <t>b)_Logro_8:</t>
  </si>
  <si>
    <t>c)_Cifras_8</t>
  </si>
  <si>
    <t>a)_Comuna_9:</t>
  </si>
  <si>
    <t>b)_Logro_9:</t>
  </si>
  <si>
    <t>c)_Cifras_9</t>
  </si>
  <si>
    <t>a)_Comuna_10:</t>
  </si>
  <si>
    <t>b)_Logro_10:</t>
  </si>
  <si>
    <t>c)_Cifras_10</t>
  </si>
  <si>
    <t>a)_Comuna_11:</t>
  </si>
  <si>
    <t>b)_Logro_11:</t>
  </si>
  <si>
    <t>c)_Cifras_11</t>
  </si>
  <si>
    <t>a)_Comuna_12:</t>
  </si>
  <si>
    <t>b)_Logro_12:</t>
  </si>
  <si>
    <t>c)_Cifras_12</t>
  </si>
  <si>
    <t>a)_Comuna_13:</t>
  </si>
  <si>
    <t>b)_Logro_13:</t>
  </si>
  <si>
    <t>c)_Cifras_13</t>
  </si>
  <si>
    <t>a)_Comuna_14:</t>
  </si>
  <si>
    <t>b)_Logro_14:</t>
  </si>
  <si>
    <t>c)_Cifras_14</t>
  </si>
  <si>
    <t>a)_Comuna_15:</t>
  </si>
  <si>
    <t>b)_Logro_15:</t>
  </si>
  <si>
    <t>c)_Cifras_15</t>
  </si>
  <si>
    <t>a)_Comuna_16:</t>
  </si>
  <si>
    <t>b)_Logro_16:</t>
  </si>
  <si>
    <t>c)_Cifras_16</t>
  </si>
  <si>
    <t>a)_Comuna_17:</t>
  </si>
  <si>
    <t>b)_Logro_17:</t>
  </si>
  <si>
    <t>c)_Cifras_17</t>
  </si>
  <si>
    <t>a)_Comuna_18:</t>
  </si>
  <si>
    <t>b)_Logro_18:</t>
  </si>
  <si>
    <t>c)_Cifras_18</t>
  </si>
  <si>
    <t>a)_Comuna_19:</t>
  </si>
  <si>
    <t>b)_Logro_19:</t>
  </si>
  <si>
    <t>c)_Cifras_19</t>
  </si>
  <si>
    <t>a)_Comuna_20:</t>
  </si>
  <si>
    <t>b)_Logro_20:</t>
  </si>
  <si>
    <t>c)_Cifras_20</t>
  </si>
  <si>
    <t>a)_Comuna_21:</t>
  </si>
  <si>
    <t>b)_Logro_21:</t>
  </si>
  <si>
    <t>c)_Cifras_21</t>
  </si>
  <si>
    <t>Gerencia de Diversidades Sexuales e Identidades de Género</t>
  </si>
  <si>
    <t>10-LA CANDELARIA</t>
  </si>
  <si>
    <t>06-DOCE DE OCTUBRE</t>
  </si>
  <si>
    <t>90-SANTA ELENA</t>
  </si>
  <si>
    <t>14-EL POBLADO</t>
  </si>
  <si>
    <t>Departamento Administrativo de Planeación</t>
  </si>
  <si>
    <t>01-POPULAR</t>
  </si>
  <si>
    <t>N/A</t>
  </si>
  <si>
    <t>Secretaría de las Mujeres</t>
  </si>
  <si>
    <t>07-ROBLEDO</t>
  </si>
  <si>
    <t>Secretaría de Desarrollo Económico</t>
  </si>
  <si>
    <t>13-SAN JAVIER</t>
  </si>
  <si>
    <t>04-ARANJUEZ</t>
  </si>
  <si>
    <t>11-LAURELES</t>
  </si>
  <si>
    <t>08-VILLA HERMOSA</t>
  </si>
  <si>
    <t>sin cifras</t>
  </si>
  <si>
    <t>05-CASTILLA</t>
  </si>
  <si>
    <t>Secretaría de Gestión y Control Territorial</t>
  </si>
  <si>
    <t>60-SAN CRISTOBAL</t>
  </si>
  <si>
    <t>Secretaría de Medio Ambiente</t>
  </si>
  <si>
    <t>03-MANRIQUE</t>
  </si>
  <si>
    <t>16-BELEN</t>
  </si>
  <si>
    <t>70-ALTAVISTA</t>
  </si>
  <si>
    <t>50-PALMITAS</t>
  </si>
  <si>
    <t>Secretaría General</t>
  </si>
  <si>
    <t>Secretaría de Evaluación y Control</t>
  </si>
  <si>
    <t>-</t>
  </si>
  <si>
    <t>Secretaría de Seguridad y Convivencia</t>
  </si>
  <si>
    <t>02-SANTA CRUZ</t>
  </si>
  <si>
    <t>12-LA AMERICA</t>
  </si>
  <si>
    <t>15-GUAYABAL</t>
  </si>
  <si>
    <t>80-SAN ANTONIO DE PRADO</t>
  </si>
  <si>
    <t>Secretaría de la Juventud</t>
  </si>
  <si>
    <t>Gerencia del Centro</t>
  </si>
  <si>
    <t>Gerencia de Etnias</t>
  </si>
  <si>
    <t>Secretaría de Educación</t>
  </si>
  <si>
    <t>Secretaría de Gestión Humana y Servicio a la Ciudadanía</t>
  </si>
  <si>
    <t>Buen Comienzo</t>
  </si>
  <si>
    <t>Secretaria de Innovación Digital</t>
  </si>
  <si>
    <t>Secretaría de Inclusión, Familia y Derechos Humanos</t>
  </si>
  <si>
    <t>Gerencia de Corregimientos</t>
  </si>
  <si>
    <t>Secretaría de Cultura Ciudadanía</t>
  </si>
  <si>
    <t>Secretaría de Infraestructura Física</t>
  </si>
  <si>
    <t>Secretaría de Movilidad</t>
  </si>
  <si>
    <t>.</t>
  </si>
  <si>
    <t>Secretaría de Salud</t>
  </si>
  <si>
    <t>Departamento Administrativo de Gestión del Riesgo de Desastres</t>
  </si>
  <si>
    <t>Sin dato</t>
  </si>
  <si>
    <t>Secretaría de Participación Ciudadana</t>
  </si>
  <si>
    <t>Secretaría de Servicios y Suministros</t>
  </si>
  <si>
    <t>Comuna</t>
  </si>
  <si>
    <t>Nombre</t>
  </si>
  <si>
    <t>Fecha</t>
  </si>
  <si>
    <t>Dependencia</t>
  </si>
  <si>
    <t>Logro</t>
  </si>
  <si>
    <t>Cifras</t>
  </si>
  <si>
    <t>Ordenador</t>
  </si>
  <si>
    <t>Cargo</t>
  </si>
  <si>
    <t>Cod_dep</t>
  </si>
  <si>
    <t>cod_comuna</t>
  </si>
  <si>
    <t>No recibido</t>
  </si>
  <si>
    <t>Secretaría de Comunicaciones</t>
  </si>
  <si>
    <t>Reunión para la socialización de los formatos y compromisos para la ejecución de Presupuesto Participativo con Convivamos, el día miércoles 15 de septiembre</t>
  </si>
  <si>
    <t>Reunión para la socialización de los formatos y compromisos para la ejecución de Presupuesto Participativo con el medio Emisora La Cuarta Estación, el día lunes 13 de septiembre.</t>
  </si>
  <si>
    <t>09-BUENOS AIRES</t>
  </si>
  <si>
    <t>Reunión para la socialización de los formatos y compromisos para la ejecución de Presupuesto Participativo con el medio La Novena Estación, el día viernes 17 de septiembre.</t>
  </si>
  <si>
    <t xml:space="preserve">Reunión de asesoría de la Convocatoria Medellín Palpita desde sus Territorios 2021, con los procesos y medios Magazine Hip Hop, el día martes 14 de septiembre, y Kinésica, el día jueves 16 de septiembre ,con el fin de revisar los productos que a la fecha se han aprobado y ejecutado a la fecha en el marco de la convocatoria. 
Reunión de inicio de ejecución de Presupuesto Participativo, con Corporación Siglo XXI, el día miércoles 15 de septiembre. En esta  reunión convocada por Plaza Mayor, se socializó con el medio las generalidades de la ejecución del contrato, se revisaron los productos, el formato de informe final y las fechas de facturación establecidas para los pagos.
</t>
  </si>
  <si>
    <t xml:space="preserve">Reunión de presentación de estrategia de comunicación y movilización corregimental con el medio Comunas de Medellín, el día martes 14 de septiembre.
Reunión de asesoría de la Convocatoria Medellín Palpita desde sus Territorios 2021, con los procesos y medios La Voz de los Corregimientos, Coravisión y Frecuencia Estéreo, el día martes 14 de septiembre, con el fin de revisar los productos que a la fecha se han aprobado y ejecutado a la fecha en el marco de la convocatoria.
</t>
  </si>
  <si>
    <t>Evaluación de las propuestas de organizaciones sociales para la ejecución de recursos de presupuesto participativo</t>
  </si>
  <si>
    <t>1.	49 estudiantes realizan el segundo encuentro de Cátedra de Género de manera presencial COOMULSAP en las sedes: Los Patios y Corvide (Comuna 80 San Antonio de Prado). Esto favorece la transformación de imaginarios sexistas en la escuela.</t>
  </si>
  <si>
    <t xml:space="preserve">2.	El 15 de septiembre se realizó el taller presencial “Lo que hay que saber de la equidad de género” con 21 personas la constructora Capital en la Comuna 14. Esto permitió al equipo asumir nuevos escenarios y enfrentarse a un público inquieto, y en ocasiones escéptico, frente a las temáticas planteadas desde de la estrategia. </t>
  </si>
  <si>
    <t>3.	El 16 de septiembre se realizó taller con 30 mujeres sobre priorización de proyectos de PP con enfoque de género y el proceso de elección de consejeros y consejeras al CCCP, con la Mesa Gerontológica y el colectivo de mujeres de la Comuna 15 a través de la articulación con Secretaría de Participación Ciudadana, Inclusión social, JAL y representantes del CCCP. Esto permite avanzar en el objetivo de que las mujeres puedan participar en igualdad de condiciones en espacios de decisión de la ciudad.</t>
  </si>
  <si>
    <t>-	Se termina la etapa contractual con Metroparques de los recursos de PL y PP 2.021. Inversión $2.604.762.199.</t>
  </si>
  <si>
    <t xml:space="preserve">-	Se logra contribuir a la prevención de consumo y venta de estupefacientes como  riesgo social desde las instituciones educativas. 
-	Se logra contribuir a la prevención de la violencia mujer/ VIF.
-	Se contribuye a la prevención de las violencias a NNAJ y prevención del delito, con jornada de servicios interinstitucionales en el barrio Moscú, y en barrio Villa del socorro.
-	El día sábado 18 de septiembre se realizó acompañamiento a la feria de servicios realizada en el coliseo contiguo a la Casa de Justicia Villa del Socorro por la Secretaria de Inclusión Social, Familia y DDHH en conjunto con el programa Buen Comienzo, INDER, Secretaría de Salud, Policía Nacional.
-	El 16 de septiembre en la casa de justicia del barrio Villa del Socorro se realizó socialización del Código Nacional de Seguridad y Convivencia en el marco de la feria de servicios, haciendo un llamado al cumplimiento de la norma y el compromiso ciudadano para la construcción de la convivencia.
-	Se termina la etapa contractual con Metroparques  de los recursos de PL y PP 2.021. Inversión $2.604.762.199.
-	En el barrio Santa Cruz el pasado sábado 18 de septiembre se realizó en articulación con la Secretaría de Inclusión Social, Familia y DDHH una jornada desde el proyecto de la Unidad de Niñez  “Medellín cuida sus niñas, niños y adolescentes” donde pudieron acceder a servicios de vacunación, lúdica con el INDER y participación musical y de baile con la Policía de Infancia y Adolescencia
</t>
  </si>
  <si>
    <t xml:space="preserve">-	Se logra contribuir a la prevención de consumo y venta de estupefacientes como  riesgo social desde las instituciones educativas. Sensibilizando a 60 estudiantes de la I.E.
-	Se logra contribuir a la prevención de la violencia mujer/ VIF, logrando sensibilizar a 22 mujeres con charla formativa.
-	Se contribuye a la prevención de las violencias a NNAJ y prevención del delito, con jornada de servicios interinstitucionales en el barrio Moscú, y en barrio Villa del socorro, dónde participan 140 personas.
-	El día sábado 18 de septiembre se realizó acompañamiento a la feria de servicios realizada en el coliseo contiguo a la Casa de Justicia Villa del Socorro por la Secretaria de Inclusión Social, Familia y DDHH en conjunto con el programa Buen Comienzo, INDER, Secretaría de Salud, Policía Nacional, favoreciéndose a 90 personas.
-	El 16 de septiembre en la casa de justicia del barrio Villa del Socorro se realizó socialización del Código Nacional de Seguridad y Convivencia en el marco de la feria de servicios, haciendo un llamado al cumplimiento de la norma y el compromiso ciudadano para la construcción de la convivencia. Se impactaron  60 personas.
-	En el barrio Santa Cruz el pasado sábado 18 de septiembre se realizó en articulación con la Secretaría de Inclusión Social, Familia y DDHH una jornada desde el proyecto de la Unidad de Niñez  “Medellín cuida sus niñas, niños y adolescentes” que tuvo participación de 60 adultos y 180 niños que pudieron acceder a servicios de vacunación, lúdica con el INDER y participación musical y de baile con la Policía de Infancia y Adolescencia
</t>
  </si>
  <si>
    <t xml:space="preserve">-	El 17 de septiembre en articulación con el Sistema de Prevención, Convivencia y Seguridad Ciudadana de la Policía, la JAL y Líderes del sector, se realizó en el barrio Raizal la sensibilización del Código Nacional de Seguridad y Convivencia Ciudadana y la celebración del amor y la amistad. Lo anterior en el marco de las acciones del plan especial de la comuna, con el fin de modificar los comportamientos contrarios a la convivencia en el sector. 
-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	Se apoyó el traslado logístico de los enseres de dos familias damnificadas del barrio Guadalupe a diferentes puntos de la ciudad (Belencito-Manrique).
</t>
  </si>
  <si>
    <t>-	El 17 de septiembre en articulación con el Sistema de Prevención, Convivencia y Seguridad Ciudadana de la Policía, la JAL y Líderes del sector, se realizó en el barrio Raizal la sensibilización del Código Nacional de Seguridad y Convivencia Ciudadana y la celebración del amor y la amistad. Lo anterior en el marco de las acciones del plan especial de la comuna, con el fin de modificar los comportamientos contrarios a la convivencia en el sector. Participaron 110 personas.
-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Se visitan 3 establecimientos de comercio.</t>
  </si>
  <si>
    <t xml:space="preserve">-	Se realizaron 5 jornadas de Promoción de Rutas de Atención y Mecanismos de Defensa de los DDHH y la Convivencia, durante la semana del 13 al 17 de septiembre, de 9:00 a.m. a 3:00 p.m. en mesas de atención ubicadas al lado de la puerta de acceso principal de la Casa de Justicia El Bosque.
-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	Se termina la etapa contractual con Metroparques  de los recursos de PL y PP 2.021. Inversión $2.604.762.199.
</t>
  </si>
  <si>
    <t>-	Se realizaron 5 jornadas de Promoción de Rutas de Atención y Mecanismos de Defensa de los DDHH y la Convivencia, durante la semana del 13 al 17 de septiembre, de 9:00 a.m. a 3:00 p.m. en mesas de atención ubicadas al lado de la puerta de acceso principal de la Casa de Justicia El Bosque, atendiéndose a 259 personas.
-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Se visitan 3 establecimientos de comercio.</t>
  </si>
  <si>
    <t xml:space="preserve">-	Para mitigar la problemática de seguridad en I.E. Diego Echavarría Misas, se logra llevar a cabo reunión con el rector, jefe de núcleo, comandante de CAI y comandante de distrito, donde se establecen acuerdos con PONAL para mitigación de las problemáticas. 
-	Se lleva a cabo encuentro de seguridad con comunidad del barrio Boyacá, en la que la población logró ampliar información sobre problemáticas de seguridad que se presentan y comprometer la acción permanente de policía, específicamente del comando de CAI Soya.
</t>
  </si>
  <si>
    <t>-	En la articulación con la Policía y el abogado de Construye Bien se procedió a notificar y realizar el desmonte de 3 viviendas en situación de loteo en el sector Los Rieles del barrio El Picacho.</t>
  </si>
  <si>
    <t>-	Creación de frentes de seguridad en los barrios Bosques de San Pablo y San Germán con comunidad y comerciantes para ayudar a mitigar los delitos en especial los hurtos.</t>
  </si>
  <si>
    <t xml:space="preserve">-	El 16 de septiembre en Barrios de Jesús, se realizó Consejo de Convivencia Ciudadana, donde se trataron temas de servicios públicos, ruido e infracciones urbanísticas. </t>
  </si>
  <si>
    <t>-	El 16 de septiembre en Barrios de Jesús, se realizó Consejo de Convivencia Ciudadana, donde se trataron temas de servicios públicos, ruido e infracciones urbanísticas. Participaron de este Consejo 24 personas.</t>
  </si>
  <si>
    <t xml:space="preserve">-	El 14 de septiembre en el barrio San Benito se realizó reunión por solicitud de los residentes del sector que manifiestan inconformidad por los comportamientos contrarios a la convivencia como el uso indebido del espacio público, la mala destinación de los residuos sólidos, el consumo de sustancias psicoactivas por la población habitante de calle. En esta reunión asistieron la Subsecretaría Operativa, el Comandante del CAI Minorista, Apóstol de la Iglesia Bethesda, la Secretaría de Inclusión Social, Familia y DDHH, la subsecretaría de Espacio Público y el Promotor Local de Gobierno, lo que llevó al compromiso de generar una zona segura.
-	El 16 de septiembre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	El 17 de Septiembre, en cumplimiento a compromisos adquiridos en el Consejo de Convivencia Ciudadana realizado con la comunidad de Villa Nueva, el programa “Convive la Noche” realiza asesorías sobre control de ruido a establecimientos comerciales con venta y consumo de licor ubicados en el sector conocido como el “Machete”. Se realizan mediciones pedagógicas de emisión de ruido y se hacen asesorías de aislamiento acústico a los comerciantes que lo manifestaron. 
-	Se termina la etapa contractual con Metroparques  de los recursos de PL y PP 2.021. Inversión $2.604.762.199.
-	En articulación con la Secretaría de Medio Ambiente se logró el retiro de 1.610 llantas en el sector de Barrio Triste que estaban en el espacio público y fueron dispuestas a una planta para su reutilización.
</t>
  </si>
  <si>
    <t>-	El 17 de Septiembre, en cumplimiento a compromisos adquiridos en el Consejo de Convivencia Ciudadana realizado con la comunidad de Villa Nueva, el programa “Convive la Noche” realiza asesorías sobre control de ruido a establecimientos comerciales con venta y consumo de licor ubicados en el sector conocido como el “Machete”. Se realizan mediciones pedagógicas de emisión de ruido y se hacen asesorías de aislamiento acústico a los comerciantes que lo manifestaron. Se visitan 4 establecimientos comerciales.
-	El 16 de septiembre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Se visitaron 7 establecimientos de comercio. 
-	El 14 de septiembre en el barrio San Benito se realizó reunión por solicitud de los residentes del sector que manifiestan inconformidad por los comportamientos contrarios a la convivencia como el uso indebido del espacio público, la mala destinación de los residuos sólidos, el consumo de sustancias psicoactivas por la población habitante de calle. En esta reunión asistieron la Subsecretaría Operativa, el Comandante del CAI Minorista, Apóstol de la Iglesia Bethesda, la Secretaría de Inclusión Social, Familia y DDHH, la subsecretaría de Espacio Público y el Promotor Local de Gobierno, lo que llevó al compromiso de generar una zona segura. En esta reunión participaron 8 personas.</t>
  </si>
  <si>
    <t xml:space="preserve">-	Apoyo y acompañamiento a Policía Nacional PRECI con campañas preventivas del control de consumo de bebidas embriagantes, lesiones personales, hurtos y autocuidado en el sector de la 70, primer y segundo parque de Laureles.
-	Actividad pedagógica frente a la prevención del hurto a personas en la circular 2 con 71 y 72. Esto a causa de la afectación presentada en los últimos días, se realizará articuladamente con Policía Nacional de vigilancia y PRECI. 
-	El 16 de septiembre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t>
  </si>
  <si>
    <t xml:space="preserve">-	El 16 de septiembre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Se visitaron 7 establecimientos de comercio. </t>
  </si>
  <si>
    <t xml:space="preserve">-	El 15 de septiembre en el barrio Santa Mónica se realizó taller de Formación en Competencias Ciudadanas con integrantes del colectivo de mujeres del sector, allí se trabajó las cuatro habilidades que debe tener un conciliador en convivencia: mirada objetiva, escucha activa, actitud constructiva y corazón abierto. </t>
  </si>
  <si>
    <t>-	El 15 de septiembre en el barrio Santa Mónica se realizó taller de Formación en Competencias Ciudadanas con integrantes del colectivo de mujeres del sector, allí se trabajó las cuatro habilidades que debe tener un conciliador en convivencia: mirada objetiva, escucha activa, actitud constructiva y corazón abierto. Participaron 16 personas.</t>
  </si>
  <si>
    <t xml:space="preserve">-	La jornada de descongestión que se viene desarrollando en la Inspección 13 de Policía.
-	El 17 de septiembre, en articulación con los funcionarios del Centro Integrado de Intervención, de 10:00 a.m., a 12:00 m, se realizó actividad de prevención y promoción sobre los tipos de maltrato, para indicar las rutas de atención y generar conciencia sobre el respeto por los derechos en diversos sectores de la comuna 13.
-	El 17 de septiembre se realizó socialización de Código Nacional de Seguridad y Convivencia en las escaleras eléctricas, allí se intervino a los comerciantes y se concientizó sobre la importancia del manejo del volumen moderado en sus puestos de trabajo. 
</t>
  </si>
  <si>
    <t xml:space="preserve">-	La jornada de descongestión que se viene desarrollando en la Inspección 13 de Policía, al 15 de septiembre de 2021 se han evacuado 276 procesos de 2014-2019 logrando una descongestión del 40.3%.
-	El 17 de septiembre, en articulación con los funcionarios del Centro Integrado de Intervención, de 10:00 a.m., a 12:00 m, se realizó actividad de prevención y promoción sobre los tipos de maltrato, para indicar las rutas de atención y generar conciencia sobre el respeto por los derechos en diversos sectores de la comuna 13, impactándose positivamente a 70 personas. 
-	El 17 de septiembre se realizó socialización de Código Nacional de Seguridad y Convivencia en las escaleras eléctricas, allí se intervino a los comerciantes y se concientizó sobre la importancia del manejo del volumen moderado en sus puestos de trabajo. Se impactaron 20 personas.
</t>
  </si>
  <si>
    <t xml:space="preserve">-	El viernes 17 de septiembre se realizó sensibilización sobre el nuevo decreto 0737 del 2021 en Parque Lleras y Provenza.
-	El 16 de septiembre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	Se participó en el Comité de Convivencia con los comerciantes de la calle Astorga en el barrio El Poblado con la participación de Gobierno Local, Inspección de Policía y Espacio Público para la sensibilización de la renovación de las autorizaciones de aprovechamiento económico.
</t>
  </si>
  <si>
    <t xml:space="preserve">-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	El pasado fin de semana dentro del marco de la reactivación económica de la ciudad se facilitó el espacio del Aeroparque Juan Pablo II para los artistas callejeros donde se ubicaron en sitios estratégicos del parque y pudieron realizar sus presentaciones musicales.
</t>
  </si>
  <si>
    <t>-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Se visitan 3 establecimientos de comercio.</t>
  </si>
  <si>
    <t xml:space="preserve">-	El 15 de septiembre, en el Parque Biblioteca Fernando Botero, se llevó a cabo una actividad pedagógica enmarcada en la estrategia Respeto Por la Vida, en la que se articularon la Secretaría de las Mujeres y la Promotora de Gobierno Local de la Unidad de Convivencia, con el fin de prevenir la violencia contra las mujeres y promover su respeto.
-	El 16 de septiembre en la vereda Travesías del sector Palenque, en articulación con la Secretaría de Salud y la Policía Nacional de Prevención y Educación Ciudadana, se realizó jornada pedagógica en la que se invitó a los habitantes del sector a ser responsable en la tenencia de sus mascotas, promoviendo la sana convivencia, el respeto a la norma y el cuidado de los espacios públicos. 
</t>
  </si>
  <si>
    <t xml:space="preserve">-	El 15 de septiembre, en el Parque Biblioteca Fernando Botero, se llevó a cabo una actividad pedagógica enmarcada en la estrategia Respeto Por la Vida, en la que se articularon la Secretaría de las Mujeres y la Promotora de Gobierno Local de la Unidad de Convivencia, con el fin de prevenir la violencia contra las mujeres y promover su respeto. En esta actividad participaron 12 mujeres.
-	El 16 de septiembre en la vereda Travesías del sector Palenque, en articulación con la Secretaría de Salud y la Policía Nacional de Prevención y Educación Ciudadana, se realizó jornada pedagógica en la que se invitó a los habitantes del sector a ser responsable en la tenencia de sus mascotas, promoviendo la sana convivencia, el respeto a la norma y el cuidado de los espacios públicos. Se impactamos 72 personas. 
</t>
  </si>
  <si>
    <t>-	Se termina la etapa contractual con Metroparques  de los recursos de PL y PP 2.021. Inversión $2.604.762.199.</t>
  </si>
  <si>
    <t>-	El 14 de septiembre en Institución Educativa Santa Elena, se realizó actividad pedagógica sobre el Código de Seguridad y Convivencia Ciudadana, Ley 1801 de 2016, con la estrategia de “concéntrese” y socialización sobre responsabilidad penal de niños, niñas y adolescentes. Se articularon la policía de infancia y adolescencia, el Gestor de Seguridad y el Promotor de Gobierno Local de la Unidad de Convivencia. Esta misma actividad se replicó el 15 de septiembre en la Institución Educativa de la vereda Mazo.</t>
  </si>
  <si>
    <t xml:space="preserve">-	El 14 de septiembre en Institución Educativa Santa Elena, se realizó actividad pedagógica sobre el Código de Seguridad y Convivencia Ciudadana, Ley 1801 de 2016, con la estrategia de “concéntrese” y socialización sobre responsabilidad penal de niños, niñas y adolescentes. Se articularon la policía de infancia y adolescencia, el Gestor de Seguridad y el Promotor de Gobierno Local de la Unidad de Convivencia, con la participación de 120 jóvenes. Esta misma actividad se replicó el 15 de septiembre en la Institución Educativa de la vereda Mazo a 60 jóvenes.  </t>
  </si>
  <si>
    <t xml:space="preserve">Entorno Escolar Protector
Durante esta semana desde el Programa Entorno Escolar Protector, se realizaron las siguientes acciones:
Llamadas para verificación del estado socioemocional de las familias y los estudiantes: 332
Visitas para identificación de algún riesgo psicosocial: 46
Adicionalmente, se realizaron las siguientes atenciones, llamadas y visitas domiciliarias a las comunidades educativas (estudiantes, docentes, directivos docentes y familias), en las 16 comunas y los 5 corregimientos de la ciudad de Medellín.
Comuna 1: 99
Comuna 2: 70
Comuna 3: 94
Comuna 4: 84
Comuna 5: 66
Comuna 6: 53
Comuna 7: 125
Comuna 8: 79
Comuna 9: 58
Comuna 10: 10
Comuna 11: 32
Comuna 12: 31
Comuna 13: 82
Comuna 14: 16
Comuna 15: 22
Comuna 16: 103
Comuna 60: 32
Comuna 70: 27
Comuna 80: 89
Comuna 90: 8
Asimismo, se realizaron  1779 acciones encaminadas a los procesos transversales del programa: asesoría y asistencia técnica, formación, movilización, gestión y articulación, dirigido a la comunidad educativas y  atenciones psicosociales. </t>
  </si>
  <si>
    <t>Mova
Visita a la IE Héctor Abad Gómez - comuna 10. 15 de septiembre de 2021. Impactando 64 docentes y 4 directivos docentes de la I.E.
Cátedra académica con la IE Sol de Oriente  - 16 de septiembre de 2021. Impactando 82 docentes y 5 directivos docentes de la I.E.
Visita a la IE Lusitania Paz de Colombia  - comuna 60. 17 de septiembre de 2021. Impactando 70 docentes y 4 directivos docentes de la I.E.</t>
  </si>
  <si>
    <t>Transformación Curricular
Estas son las comunas (16), instituciones educativas (36 I.E), Centros Educativos (1 C.E), con asesorías y asistencias técnicas (AAT= 44), en el marco del cumplimioento de la meta del indicador del PDM 2020-2023 Medellín Futuro: I.E Oficiales acompañadas para la adecuación de su modelo curricular en la 4ta Revolución Industrial:
Semana del 13 al 17 de septiembre 2021:
Comuna 1: 4 I.E
Comuna 2: 4 I.E 
Comuna 3: 1 I.E
Comuna 4: 2 I.E
Comunas 5:1 I.E
Comuna 6: 1 I.E 
Comuna 7: 3 I.E 
Comuna 8: 3 I.E
Comuna 9: 4 I.E 
Comuna 10: 2 I.E
Comuna 11: 2 I.E
Comuna 12: 4 I.E
Comuna 13: 1 I.E 
Comuna 16: 2 I.E 
Comuna 60: 1C.E
Comuna 80: 2 I.E</t>
  </si>
  <si>
    <t xml:space="preserve"> Acceso                                                                                   Participación en feria de servicios programadas por la Personería en las comunas 2, 9, y 16, teniendo como logro mas significativo, informar a la comunidad sobre la oferta educativa y las rutas de acceso al sistema educativo.
En el evento de "Conéctate con la IE Octavio Harry" el propósito fue motivar  la reflexión en toda la comunidad educativa respecto a la permanencia escolar.</t>
  </si>
  <si>
    <t xml:space="preserve">Equipo Casas de Justicia:
Comuna 2: El día sábado 18 de septiembre se realizó acompañamiento a la feria de servicios realizada en el coliseo contiguo a la Casa de Justicia Villa del Socorro por la Secretaria de Inclusión Social, en conjunto con el programa Buen Comienzo, INDER, Secretaria de Salud, Policía Nacional, favoreciéndose a 90 personas. 
Unidad de Convivencia:
Comuna 2: el 16 de septiembre en la casa de justicia del barrio Villa del Socorro se realizó socialización del Código Nacional de Seguridad y Convivencia en el marco de la feria de servicios, haciendo un llamado al cumplimiento de la norma y el compromiso ciudadano para la construcción de la convivencia. Se impactaron  60 personas.
Enlace presupuesto participativo:
•	Comuna 2: Se avanza en la etapa contractual con Metroparques  de los recursos de PL y PP 2.021. Inversión $2.604.762.199. 
</t>
  </si>
  <si>
    <t xml:space="preserve">Equipo Casas de Justicia:
Se impactaron 90 personas. 
Unidad de Convivencia:
Se impactaron 60 personas.
Enlace presupuesto participativo:
Comuna 2:  Inversión $2.604.762.199. </t>
  </si>
  <si>
    <t xml:space="preserve">Unidad de Convivencia:
Comuna 3: el 17 de septiembre en articulación con el Sistema de Prevención, Convivencia y Seguridad Ciudadana de la Policía, la JAL, la Secretaría de Seguridad y Convivencia y Líderes del sector, se realizó en el barrio Raizal la sensibilización del Código Nacional de Seguridad y Convivencia Ciudadana y la celebración del amor y la amistad. Lo anterior en el Marco de las acciones del plan especial de la comuna, con el fin de modificar los comportamientos contrarios a la convivencia en el sector. Participaron 110 personas.
Comuna 3: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pedagogía con el ingeniero de sonido del programa. Se visitan 3 establecimientos de comercio.
</t>
  </si>
  <si>
    <t>Unidad de Convivencia: 
Se impactaron 110 personas.
Programa Convive la Noche:
Se visitan 3 establecimientos de comercio.</t>
  </si>
  <si>
    <t>Equipo Casas de Justicia:
Comuna 4: Igualmente, se realizaron 5 jornadas de Promoción de Rutas de Atención y Mecanismos de Defensa de los DD. HH y la Convivencia, durante la semana del 13 al 17 de septiembre, de 9:00 am a 3:00 pm, en mesas de atención ubicadas al lado de la puerta de acceso principal de la Casa de Justicia El Bosque, atendiéndose a 259 personas.
Programa Convive la Noche:
Comuna  4: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pedagogía con el ingeniero de sonido del programa. Se visitan 3 establecimientos de comercio.</t>
  </si>
  <si>
    <t xml:space="preserve">Equipo casas de Justicia:
Personas impactadas 259
Programa Convive la Noche:
Se visitan 3 establecimientos de comercio.
</t>
  </si>
  <si>
    <t xml:space="preserve">Unidad de Inspecciones de Policía
Comuna 13: La jornada de descongestión que se viene desarrollando en la Inspección 13 de Policía ha dado los siguientes resultados 
A 15 de septiembre de 2021 se han evacuado 276 procesos de 2014-2019 logrando una descongestión del 40.3%.
Equipo Casas de Justicia:
Comuna 13: El 17 de septiembre, en articulación con los funcionarios del Centro Integrado de Intervención, de 10:00 a.m., a 12:00 m,, se realizó actividad de prevención y promoción sobre los tipos de maltrato, para indicar las rutas de atención y generar conciencia sobre el respeto por los derechos en diversos sectores de la comuna 13, impactándose positivamente a 70 personas. 
</t>
  </si>
  <si>
    <t>22 de septiembre: FORTALECIMIENTO DE LA PARTICIPACIÓN Y LAS DINÁMICAS JUVENILES</t>
  </si>
  <si>
    <t>Se espera contar con la participación de 30 jóvenes.</t>
  </si>
  <si>
    <t>Se espera contar con la participación de 50 jóvenes</t>
  </si>
  <si>
    <t>20 de septiembre: Acompañamos al centro de desarrollo zonal de la comuna 8 en la microferia llevada a cabo en la I.E. Juan de la cruz posada en articulación con Medellín joven c8</t>
  </si>
  <si>
    <t>Se contó con la participación de 15 jóvenes.</t>
  </si>
  <si>
    <t>20 de septiembre: Taller Laboratorio Antifragilidad (JVS)		"</t>
  </si>
  <si>
    <t>Contamos con la participación de 40 jóvenes.</t>
  </si>
  <si>
    <t>Hubo reunión de acercamiento con los comerciantes de la comuna 16 (Belén), donde se le dio a conocer el portafolio de servicios del Banco de las Oportunidades y la Red de Apoyo Financiero-RAF, para que tengas más opciones de fortalecimiento de sus negocios.</t>
  </si>
  <si>
    <t>Continuando con la reactivación económica en las comunas, este 24 de septiembre estaremos con la Casa Móvil de Justicia de Robledo, llevando toda la oferta de nuestra Secretaría “Desarrollo Económico” a dicha comunidad.</t>
  </si>
  <si>
    <t>Se realiza logística para la tercera micro feria territorial de empleo dirigida a los habitantes de las comunas 14,15, 16 y 70 el día 23 de septiembre, en donde se ofrecerán todos los servicios de la Oficina Pública de Empleo (registro y actualización de hoja de vida; postulación a vacantes; preentrevistas con las empresas asistentes y asesorías individuales). El evento se llevará a cabo en la Unidad Deportiva de Belén, Andrés Escobar Saldarriaga, de 09:00 a.m. a 04:00 p.m.</t>
  </si>
  <si>
    <t>Se tuvo la participación de 20 emprendedores en el evento del programa “Compra Hecho en Medellín” en el Bazar de la Avenida El Jardín, donde se realizaron ventas por más de 9 millones de pesos e impactamos la comuna 11, donde se desarrolló la actividad; y desde los emprendedores las comunas 4, 7, 11, 12, 14, 15, 16 y el corregimiento de San Cristóbal.</t>
  </si>
  <si>
    <t>EL 23 de septiembre se tiene programado taller proyección socio laboral, capacitación socio vocacional, ofreciendo todos los servicios por la Oficina Pública de Empleo. En el barrio Sinaí (Comuna 2), de 10 a 12 m., se espera la participación de 37 ciudadanos.</t>
  </si>
  <si>
    <t>Recorrido de validación en la Comuna 13, durante la próxima semana apoyando la iniciativa de Turismo Comunitario que se viene acompañando en su proceso de fortalecimiento y formalización por la Subsecretaría de Turismo.</t>
  </si>
  <si>
    <t xml:space="preserve">El día 26 de septiembre en el Centro Comercial Los Molinos (comuna 16) tendremos vitrina campesina de 10:00 am a 4:00 pm, con la presencia de 10 participantes, y de igual manera en este mismo día haremos presencia en el parque Tele Medellín, desde las 9:00 am a 5:00 pm, con la participación de 8 productores. </t>
  </si>
  <si>
    <t xml:space="preserve">El día 25 de septiembre tendremos vitrina campesina en el Country Club (Comuna 14), desde las 8:00 am hasta las 2:00 pm, contando con la presencia de 6 participantes productores. </t>
  </si>
  <si>
    <t>Se está realizando articulaciones con buen comienzo, con el fin de proporcionar talleres de interés para las niñas, niños, agentes educativos y padres de familia</t>
  </si>
  <si>
    <t>Estamos en proceso de suministrar información,  articuladamente con equipo técnico, SIATA, comunidad barrio de Jesús y equipo de gestión social. sobre lo relacionado a la instalación de alarma comunitaria en comuna 9 sector barrio de Jesús quebrada santa Elena.</t>
  </si>
  <si>
    <t xml:space="preserve">Se realizara talleres, en institución educativa PACHAMAMA y se dará atencion a temas solicitados por el encargado del SG-SST de la institución en mención. 
</t>
  </si>
  <si>
    <t xml:space="preserve">Por cuarta vez, el indicador de oportunidad  de Servicio a la Ciudadanía respecto de la atención de las PQRS es del 100% para la Secretaría de Movilidad, lo que quiere decir que las 6.147 PQRS que ingresaron a la Secretaría fueron atendidas dentro de los términos legales. 	
Se realizaron las revisiones y ajustes finales a los flujos para automatización del proceso de contratación para iniciar con el desarrollo y aplicación. 	 
Se adelantó el ejercicio de consolidación de insumos para el informe de supervisión colegiada del Convenio Interadministrativo 5400000003 de 2006 con UNE TELECOMUNICACIONES S.A. del mes de agosto de 2021
Se firmó Acta de Inicio para los Contratos de Obra e Interventoría de Mantenimiento, Reposición y Ampliación de la Red Semafórica 2021.
Puesta en servicio de cruces importantes de la ciudad: Glorieta de Exposiciones y Glorieta Av El Ferrocarril con Calle 44 San Juan. Fueron selladas las cajas para evitar nuevos vandalismos.
La Secretaria de Movilidad a través de los Agentes de tránsito y en articulación con el área Metropolitana continúan con los controles a las  emisiones contaminantes a fuentes móviles, de los controles realizados se tienen los siguientes resultados del  13 al 19 de septiembre de 2021 : 859 Pruebas, de estas 101 comparendos y  6 inmovilizaciones.	 
Con las intervenciones en sectores de mayor riesgo de incidentalidad en la ciudad se logró durante esta semana intervenir un total de 5.384 personas, en lo que va del año la cifra es de 52.044 personas.	
Las sensibilizaciones realizadas en el Centro Comercial La Central permitieron llegar que muchas personas se familizarizaran con el enfoque de Visión Cero, durante la semana del 12 al 18 de septiembre se logró intervenir un total 2562 personas  para un total de 4.579 personas sensibilizadas desde el 9 de septiembre.
Presencia institucional en la comuna 4, 5 10, 11 y 14.	
Densificación de la red ciclista	
Se ejecuta como acción para consolidar la Zona Urbana de Aire Protegido, la apertura de un nuevo corredor peatonal en la calle Pichincha entre las Carreras 44 y 45.
</t>
  </si>
  <si>
    <t>1. Acercamiento con la ciudadanía, logrando descentralizar el servicios de SISBEN y orientación en temas generales del Municipio de Medellín,  evitando desplazamientos innecesarios de los ciudadanos y costos en pasajes.</t>
  </si>
  <si>
    <t>Atención de 77 ciudadanos</t>
  </si>
  <si>
    <t>2. Acercamiento con la ciudadanía, logrando descentralizar el servicios de SISBEN y orientación en temas generales del Municipio de Medellín,  evitando desplazamientos innecesarios de los ciudadanos y costos en pasajes.</t>
  </si>
  <si>
    <t>Atención de  51 ciudadanos</t>
  </si>
  <si>
    <t xml:space="preserve">Motivar población diversa para la conformación de mesas y colectivos, en alianza con las IE del corregimiento </t>
  </si>
  <si>
    <t xml:space="preserve">15 personas participan en la Reunión y se logra establecer cronograma de trabajo </t>
  </si>
  <si>
    <t xml:space="preserve">activación de procesos diversos en el corregimiento y dialogo con estudiantes y docentes </t>
  </si>
  <si>
    <t>se establece directrices para lograr movilizar estrategias frente a discursos y acciones sobre diversidad en el territorio, específicamente con jóvenes que hacen parte de la población.</t>
  </si>
  <si>
    <t>Posicionar el centro para la diversidad en la comuna, logrando impactar con mas de 3 actividades semanales las cuales permiten que la población  se acerque y lo vea como un escenario ganador para ellles.</t>
  </si>
  <si>
    <t>Apariciones en medios</t>
  </si>
  <si>
    <t>Las publicaciones alcanzaron estas estadísticas en la última semana: Número de Publicaciones: 52 Twitter 18.800 impresiones y 844 interacciones. Instagram 4.900 impresiones y 68 acciones Facebook 456 personas alcanzadas y 120 interacciones. Presencia en medios de comunicación: Entrevista Telemedellín - 18 Sep 2021 - Recorrido Bolívar Mes del Patrimonio Entrevista Teleantioquia - 18 Sep 2021 - Recorrido Bolívar Mes del Patrimonio</t>
  </si>
  <si>
    <t>500 familias beneficiadas con internet gratis de fibra óptica</t>
  </si>
  <si>
    <t>más de 2000 personas</t>
  </si>
  <si>
    <t>n/a</t>
  </si>
  <si>
    <t>•	Continuación de la audiencia pública proceso sancionatorio COOMULSAP en la etapa probatoria.</t>
  </si>
  <si>
    <t>Se impactará a 75 familias.</t>
  </si>
  <si>
    <t>•	Firma de contrato modelo flexible.</t>
  </si>
  <si>
    <t>Se impactará a 200 niños y niñas.</t>
  </si>
  <si>
    <t>Desde la Casa de Cultura Alcázares se desarrolló la estrategia de articulación con el Carnaval de la 13, el cual se realizó los días 17, 18 y 19 de septiembre, donde el escenario de Red Catul fue sede de algunos eventos como el conversatorio de teatro callejero con el moderador Juan Pablo Ricaurte.</t>
  </si>
  <si>
    <t>asistieron 100 personas.</t>
  </si>
  <si>
    <t xml:space="preserve">COMUNA 6 CASA DE CULTURA PEDREGAL
"Ponte salsa en familia", evento realizado con Latina Stereo y Comfama.
</t>
  </si>
  <si>
    <t>63 asistentes.</t>
  </si>
  <si>
    <t xml:space="preserve">Se está terminando la caracterización del programa de manos que alimenta que se está articulando con la Gerencia de Corregimientos, para determinar las familias que saldrán beneficiadas con estos subsidios en los cinco corregimientos. </t>
  </si>
  <si>
    <t xml:space="preserve">Se beneficiaran 830 familias. </t>
  </si>
  <si>
    <t xml:space="preserve">En el proyecto rutas de siembras del ayuntamiento de Barcelona, el cual se ganó COMFENALCO con apoyo de la Gerencia de Corregimientos con el fin de articular  una red turística con las fincas del corregimiento. En este momento se está en la preselección de las fincas. </t>
  </si>
  <si>
    <t xml:space="preserve">25 fincas preseleccionadas 
8 fincas Finalistas.
</t>
  </si>
  <si>
    <t>Se apertura las inscripciones del proyecto káiser de la secretaria de Desarrollo Económico en articulación con la Gerencia de Corregimientos para el beneficio de 50 mujeres rurales.</t>
  </si>
  <si>
    <t xml:space="preserve">- 50 mujeres se les otorgara una capacitación para brindar herramientas que les permita un proyecto de vida. 
- 25 van a ser premiadas con $10.000.000. 
</t>
  </si>
  <si>
    <t xml:space="preserve">•	Ruta de Medellín Cuida lo Público – Belén. </t>
  </si>
  <si>
    <t xml:space="preserve">Feria de Servicios Santa Cruz - Sensibilizar a niñas, niños, adolescentes y padres de familia sobre los cuidados en contra de la explotación sexual y sobre como generar espacios protectores y de autocuidado. </t>
  </si>
  <si>
    <t>50 niñas, niños y adolescentes, 40 adultos.</t>
  </si>
  <si>
    <t xml:space="preserve">Comunas: 10,16 y 60
protección y restablecimiento de derechos a personas mayores
ACTIVIDAD: traslado desde la vivienda e ingreso a instituciones del modelo larga estancia y Dormitorio Social.
</t>
  </si>
  <si>
    <t>7 personas mayores</t>
  </si>
  <si>
    <t>atención en salud a personas mayores que viven en el Centro de Protección Bello Horizonte</t>
  </si>
  <si>
    <t>20 personas mayores</t>
  </si>
  <si>
    <t>En articulación con la Personería Municipal de Medellín participamos en las jornadas de control social y participación ciudadana, con el fin de visitar las comunidades y los territorios con sus propios entornos para generar acciones y mayores impactos. Desde el Equipo de Discapacidad los profesionales de Ser Capaz participaron activamente en las jornadas promocionando la oferta de servicios y brindando información a la comunidad.</t>
  </si>
  <si>
    <t xml:space="preserve">COMUNA: 3,4,5,6,7 y 10
Entrega de paquetes alimentarios – Apoyo Nutricional para Población Vulnerable.
Entrega de complemento alimentario
</t>
  </si>
  <si>
    <t>3.407</t>
  </si>
  <si>
    <t>COMUNA: 1,2,3,4,5,6,7,8,9,10,11,12,13,14,15,16,50,60,70,80 y 90. 
Entrega de raciones alimentarios – Programa de Alimentación Escolar (PAE)
ACTIVIDAD: Entrega de raciones alimentarios en la modalidad de Ración Industrializada a titulares de derecho del PAE</t>
  </si>
  <si>
    <t>673.545</t>
  </si>
  <si>
    <t xml:space="preserve">COMUNA: 1,2,3,4,5,6,7,8,9,10,11,12,13,14,15,16,50,60,70,80,90 
Personas capacitadas – Apoyo Nutricional para Población Vulnerable.
ACTIVIDAD: Participantes capacitados en prácticas y hábitos alimentarios adecuados.
</t>
  </si>
  <si>
    <t>3.693</t>
  </si>
  <si>
    <t xml:space="preserve">Certificaciones en habilidades laborales
ACTIVIDAD: En lo que va corrido del segundo semestre de 2021, se han entregado 150 certificados en habilidades laborales de cursos con el SENA y la Universidad La Sallista a ciudadanos que se encuentran en proceso de resocialización semi abierta e intramural, un logro que apunta a capacitarlos para que puedan acceder a más oportunidades al egresar.
</t>
  </si>
  <si>
    <t xml:space="preserve">150 </t>
  </si>
  <si>
    <t xml:space="preserve">Todas las comunas: Reunión con las mesas y comités de DDHHs de las comunas para el inicio y desarrollo de las iniciativas de fortalecimiento.
ACTIVIDAD: Reunión de validación de los requisitos y fechas.
</t>
  </si>
  <si>
    <t>35.</t>
  </si>
  <si>
    <t>24/09/21</t>
  </si>
  <si>
    <t>Secretraría de Comunicaciones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</si>
</sst>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rgb="FF000000"/>
      <name val="Calibri"/>
    </font>
    <font>
      <b/>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4">
    <xf numFmtId="0" fontId="0" fillId="0" borderId="0" xfId="0" applyFont="1" applyAlignment="1"/>
    <xf numFmtId="0" fontId="0" fillId="0" borderId="1" xfId="0" applyFont="1" applyBorder="1" applyAlignment="1"/>
    <xf numFmtId="22" fontId="0" fillId="0" borderId="1" xfId="0" applyNumberFormat="1" applyFont="1" applyBorder="1"/>
    <xf numFmtId="0" fontId="0" fillId="3" borderId="1" xfId="0" applyFont="1" applyFill="1" applyBorder="1" applyAlignment="1"/>
    <xf numFmtId="0" fontId="0" fillId="0" borderId="1" xfId="0" applyFont="1" applyBorder="1" applyAlignment="1">
      <alignment wrapText="1"/>
    </xf>
    <xf numFmtId="0" fontId="0" fillId="2"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1" fillId="2" borderId="1" xfId="0" applyFont="1" applyFill="1" applyBorder="1" applyAlignment="1">
      <alignment horizontal="center" vertical="center"/>
    </xf>
    <xf numFmtId="14" fontId="1" fillId="2" borderId="1" xfId="0" applyNumberFormat="1" applyFont="1" applyFill="1" applyBorder="1" applyAlignment="1">
      <alignment horizontal="center" vertical="center"/>
    </xf>
    <xf numFmtId="14" fontId="0" fillId="0" borderId="0" xfId="0" applyNumberFormat="1" applyFont="1" applyAlignment="1"/>
    <xf numFmtId="49" fontId="1" fillId="2" borderId="1" xfId="0" applyNumberFormat="1" applyFont="1" applyFill="1" applyBorder="1" applyAlignment="1">
      <alignment horizontal="center" vertical="center"/>
    </xf>
    <xf numFmtId="49" fontId="0" fillId="0" borderId="0" xfId="0" applyNumberFormat="1" applyFont="1" applyAlignment="1">
      <alignment horizontal="center"/>
    </xf>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23</xdr:row>
      <xdr:rowOff>177800</xdr:rowOff>
    </xdr:from>
    <xdr:to>
      <xdr:col>5</xdr:col>
      <xdr:colOff>50800</xdr:colOff>
      <xdr:row>27</xdr:row>
      <xdr:rowOff>25400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25400</xdr:colOff>
      <xdr:row>36</xdr:row>
      <xdr:rowOff>25400</xdr:rowOff>
    </xdr:from>
    <xdr:to>
      <xdr:col>5</xdr:col>
      <xdr:colOff>50800</xdr:colOff>
      <xdr:row>39</xdr:row>
      <xdr:rowOff>63500</xdr:rowOff>
    </xdr:to>
    <xdr:pic>
      <xdr:nvPicPr>
        <xdr:cNvPr id="2" name="CommandButton1">
          <a:extLst>
            <a:ext uri="{FF2B5EF4-FFF2-40B4-BE49-F238E27FC236}">
              <a16:creationId xmlns:a16="http://schemas.microsoft.com/office/drawing/2014/main" id="{62ACD9D4-AD19-1440-8E9B-A8463A403A1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58300" y="7289800"/>
          <a:ext cx="2959100" cy="609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CJ93"/>
  <sheetViews>
    <sheetView workbookViewId="0">
      <pane ySplit="1" topLeftCell="A2" activePane="bottomLeft" state="frozen"/>
      <selection pane="bottomLeft" activeCell="C11" sqref="C11"/>
    </sheetView>
  </sheetViews>
  <sheetFormatPr baseColWidth="10" defaultColWidth="14.5" defaultRowHeight="15" customHeight="1" x14ac:dyDescent="0.2"/>
  <cols>
    <col min="1" max="1" width="10.6640625" style="1" customWidth="1"/>
    <col min="2" max="2" width="15.6640625" style="1" bestFit="1" customWidth="1"/>
    <col min="3" max="3" width="60" style="1" bestFit="1" customWidth="1"/>
    <col min="4" max="4" width="34.83203125" style="1" bestFit="1" customWidth="1"/>
    <col min="5" max="5" width="38.5" style="1" bestFit="1" customWidth="1"/>
    <col min="6" max="20" width="10.6640625" style="1" customWidth="1"/>
    <col min="21" max="21" width="17" style="1" customWidth="1"/>
    <col min="22" max="45" width="10.6640625" style="1" customWidth="1"/>
    <col min="46" max="46" width="19.5" style="1" customWidth="1"/>
    <col min="47" max="68" width="10.6640625" style="1" customWidth="1"/>
    <col min="69" max="16384" width="14.5" style="1"/>
  </cols>
  <sheetData>
    <row r="1" spans="1:88" s="4" customFormat="1" ht="32" x14ac:dyDescent="0.2">
      <c r="A1" s="5" t="s">
        <v>0</v>
      </c>
      <c r="B1" s="5" t="s">
        <v>1</v>
      </c>
      <c r="C1" s="5" t="s">
        <v>2</v>
      </c>
      <c r="D1" s="5" t="s">
        <v>3</v>
      </c>
      <c r="E1" s="5" t="s">
        <v>4</v>
      </c>
      <c r="F1" s="5" t="s">
        <v>5</v>
      </c>
      <c r="G1" s="5" t="s">
        <v>6</v>
      </c>
      <c r="H1" s="5" t="s">
        <v>7</v>
      </c>
      <c r="I1" s="6" t="s">
        <v>8</v>
      </c>
      <c r="J1" s="6" t="s">
        <v>9</v>
      </c>
      <c r="K1" s="6"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c r="AN1" s="6" t="s">
        <v>39</v>
      </c>
      <c r="AO1" s="6" t="s">
        <v>40</v>
      </c>
      <c r="AP1" s="6" t="s">
        <v>41</v>
      </c>
      <c r="AQ1" s="6" t="s">
        <v>42</v>
      </c>
      <c r="AR1" s="6" t="s">
        <v>43</v>
      </c>
      <c r="AS1" s="6" t="s">
        <v>44</v>
      </c>
      <c r="AT1" s="6" t="s">
        <v>45</v>
      </c>
      <c r="AU1" s="6" t="s">
        <v>46</v>
      </c>
      <c r="AV1" s="6" t="s">
        <v>47</v>
      </c>
      <c r="AW1" s="6" t="s">
        <v>48</v>
      </c>
      <c r="AX1" s="6" t="s">
        <v>49</v>
      </c>
      <c r="AY1" s="6" t="s">
        <v>50</v>
      </c>
      <c r="AZ1" s="6" t="s">
        <v>51</v>
      </c>
      <c r="BA1" s="6" t="s">
        <v>52</v>
      </c>
      <c r="BB1" s="6" t="s">
        <v>53</v>
      </c>
      <c r="BC1" s="6" t="s">
        <v>54</v>
      </c>
      <c r="BD1" s="6" t="s">
        <v>55</v>
      </c>
      <c r="BE1" s="6" t="s">
        <v>56</v>
      </c>
      <c r="BF1" s="6" t="s">
        <v>57</v>
      </c>
      <c r="BG1" s="6" t="s">
        <v>58</v>
      </c>
      <c r="BH1" s="6" t="s">
        <v>59</v>
      </c>
      <c r="BI1" s="6" t="s">
        <v>60</v>
      </c>
      <c r="BJ1" s="6" t="s">
        <v>61</v>
      </c>
      <c r="BK1" s="6" t="s">
        <v>62</v>
      </c>
      <c r="BL1" s="6" t="s">
        <v>63</v>
      </c>
      <c r="BM1" s="6" t="s">
        <v>64</v>
      </c>
      <c r="BN1" s="6" t="s">
        <v>65</v>
      </c>
      <c r="BO1" s="6" t="s">
        <v>66</v>
      </c>
      <c r="BP1" s="6" t="s">
        <v>67</v>
      </c>
    </row>
    <row r="2" spans="1:88" s="3" customFormat="1" x14ac:dyDescent="0.2">
      <c r="A2" s="1">
        <v>203023</v>
      </c>
      <c r="B2" s="2">
        <v>44463</v>
      </c>
      <c r="C2" s="13" t="s">
        <v>245</v>
      </c>
      <c r="D2" s="1" t="s">
        <v>128</v>
      </c>
      <c r="E2" s="1" t="s">
        <v>128</v>
      </c>
      <c r="F2" s="13" t="s">
        <v>74</v>
      </c>
      <c r="G2" s="13" t="s">
        <v>130</v>
      </c>
      <c r="H2" s="13" t="s">
        <v>75</v>
      </c>
      <c r="I2" s="13" t="s">
        <v>80</v>
      </c>
      <c r="J2" s="13" t="s">
        <v>131</v>
      </c>
      <c r="K2" s="13" t="s">
        <v>75</v>
      </c>
      <c r="L2" s="13" t="s">
        <v>132</v>
      </c>
      <c r="M2" s="13" t="s">
        <v>133</v>
      </c>
      <c r="N2" s="13" t="s">
        <v>75</v>
      </c>
      <c r="O2" s="13" t="s">
        <v>79</v>
      </c>
      <c r="P2" s="13" t="s">
        <v>134</v>
      </c>
      <c r="Q2" s="13" t="s">
        <v>75</v>
      </c>
      <c r="R2" s="13" t="s">
        <v>99</v>
      </c>
      <c r="S2" s="13" t="s">
        <v>135</v>
      </c>
      <c r="T2" s="13" t="s">
        <v>75</v>
      </c>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row>
    <row r="3" spans="1:88" x14ac:dyDescent="0.2">
      <c r="A3" s="1">
        <v>203023</v>
      </c>
      <c r="B3" s="2">
        <v>44463</v>
      </c>
      <c r="C3" s="13" t="s">
        <v>116</v>
      </c>
      <c r="D3" s="1" t="s">
        <v>128</v>
      </c>
      <c r="E3" s="1" t="s">
        <v>128</v>
      </c>
      <c r="F3" s="13" t="s">
        <v>74</v>
      </c>
      <c r="G3" s="13" t="s">
        <v>136</v>
      </c>
      <c r="H3" s="13" t="s">
        <v>75</v>
      </c>
      <c r="I3" s="13" t="s">
        <v>88</v>
      </c>
      <c r="J3" s="13" t="s">
        <v>136</v>
      </c>
      <c r="K3" s="13" t="s">
        <v>75</v>
      </c>
      <c r="L3" s="13" t="s">
        <v>84</v>
      </c>
      <c r="M3" s="13" t="s">
        <v>136</v>
      </c>
      <c r="N3" s="13" t="s">
        <v>75</v>
      </c>
      <c r="O3" s="13" t="s">
        <v>70</v>
      </c>
      <c r="P3" s="13" t="s">
        <v>136</v>
      </c>
      <c r="Q3" s="13" t="s">
        <v>75</v>
      </c>
      <c r="R3" s="13" t="s">
        <v>132</v>
      </c>
      <c r="S3" s="13" t="s">
        <v>136</v>
      </c>
      <c r="T3" s="13" t="s">
        <v>75</v>
      </c>
      <c r="U3" s="13" t="s">
        <v>79</v>
      </c>
      <c r="V3" s="13" t="s">
        <v>136</v>
      </c>
      <c r="W3" s="13" t="s">
        <v>75</v>
      </c>
      <c r="X3" s="13" t="s">
        <v>72</v>
      </c>
      <c r="Y3" s="13" t="s">
        <v>136</v>
      </c>
      <c r="Z3" s="13" t="s">
        <v>75</v>
      </c>
      <c r="AA3" s="13" t="s">
        <v>91</v>
      </c>
      <c r="AB3" s="13" t="s">
        <v>136</v>
      </c>
      <c r="AC3" s="13" t="s">
        <v>75</v>
      </c>
      <c r="AD3" s="13" t="s">
        <v>86</v>
      </c>
      <c r="AE3" s="13" t="s">
        <v>136</v>
      </c>
      <c r="AF3" s="13" t="s">
        <v>75</v>
      </c>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row>
    <row r="4" spans="1:88" x14ac:dyDescent="0.2">
      <c r="A4" s="1">
        <v>203023</v>
      </c>
      <c r="B4" s="2">
        <v>44463</v>
      </c>
      <c r="C4" s="13" t="s">
        <v>76</v>
      </c>
      <c r="D4" s="1" t="s">
        <v>128</v>
      </c>
      <c r="E4" s="1" t="s">
        <v>128</v>
      </c>
      <c r="F4" s="13" t="s">
        <v>99</v>
      </c>
      <c r="G4" s="13" t="s">
        <v>137</v>
      </c>
      <c r="H4" s="13" t="s">
        <v>112</v>
      </c>
      <c r="I4" s="13" t="s">
        <v>72</v>
      </c>
      <c r="J4" s="13" t="s">
        <v>138</v>
      </c>
      <c r="K4" s="13" t="s">
        <v>112</v>
      </c>
      <c r="L4" s="13" t="s">
        <v>98</v>
      </c>
      <c r="M4" s="13" t="s">
        <v>139</v>
      </c>
      <c r="N4" s="13" t="s">
        <v>112</v>
      </c>
      <c r="O4" s="13"/>
      <c r="P4" s="13" t="s">
        <v>112</v>
      </c>
      <c r="Q4" s="13" t="s">
        <v>112</v>
      </c>
      <c r="R4" s="13"/>
      <c r="S4" s="13" t="s">
        <v>112</v>
      </c>
      <c r="T4" s="13" t="s">
        <v>112</v>
      </c>
      <c r="U4" s="13"/>
      <c r="V4" s="13" t="s">
        <v>112</v>
      </c>
      <c r="W4" s="13" t="s">
        <v>112</v>
      </c>
      <c r="X4" s="13"/>
      <c r="Y4" s="13" t="s">
        <v>112</v>
      </c>
      <c r="Z4" s="13" t="s">
        <v>112</v>
      </c>
      <c r="AA4" s="13"/>
      <c r="AB4" s="13" t="s">
        <v>112</v>
      </c>
      <c r="AC4" s="13" t="s">
        <v>112</v>
      </c>
      <c r="AD4" s="13"/>
      <c r="AE4" s="13" t="s">
        <v>112</v>
      </c>
      <c r="AF4" s="13" t="s">
        <v>112</v>
      </c>
      <c r="AG4" s="13"/>
      <c r="AH4" s="13" t="s">
        <v>112</v>
      </c>
      <c r="AI4" s="13" t="s">
        <v>112</v>
      </c>
      <c r="AJ4" s="13"/>
      <c r="AK4" s="13" t="s">
        <v>112</v>
      </c>
      <c r="AL4" s="13" t="s">
        <v>112</v>
      </c>
      <c r="AM4" s="13"/>
      <c r="AN4" s="13" t="s">
        <v>112</v>
      </c>
      <c r="AO4" s="13" t="s">
        <v>112</v>
      </c>
      <c r="AP4" s="13"/>
      <c r="AQ4" s="13" t="s">
        <v>112</v>
      </c>
      <c r="AR4" s="13" t="s">
        <v>112</v>
      </c>
      <c r="AS4" s="13"/>
      <c r="AT4" s="13" t="s">
        <v>112</v>
      </c>
      <c r="AU4" s="13" t="s">
        <v>112</v>
      </c>
      <c r="AV4" s="13"/>
      <c r="AW4" s="13" t="s">
        <v>112</v>
      </c>
      <c r="AX4" s="13" t="s">
        <v>112</v>
      </c>
      <c r="AY4" s="13"/>
      <c r="AZ4" s="13" t="s">
        <v>112</v>
      </c>
      <c r="BA4" s="13" t="s">
        <v>112</v>
      </c>
      <c r="BB4" s="13"/>
      <c r="BC4" s="13" t="s">
        <v>112</v>
      </c>
      <c r="BD4" s="13" t="s">
        <v>112</v>
      </c>
      <c r="BE4" s="13"/>
      <c r="BF4" s="13" t="s">
        <v>112</v>
      </c>
      <c r="BG4" s="13" t="s">
        <v>112</v>
      </c>
      <c r="BH4" s="13"/>
      <c r="BI4" s="13" t="s">
        <v>112</v>
      </c>
      <c r="BJ4" s="13" t="s">
        <v>112</v>
      </c>
      <c r="BK4" s="13"/>
      <c r="BL4" s="13" t="s">
        <v>112</v>
      </c>
      <c r="BM4" s="13" t="s">
        <v>112</v>
      </c>
      <c r="BN4" s="13"/>
      <c r="BO4" s="13" t="s">
        <v>112</v>
      </c>
      <c r="BP4" s="13" t="s">
        <v>112</v>
      </c>
      <c r="BQ4" s="13"/>
      <c r="BR4" s="13"/>
      <c r="BS4" s="13"/>
      <c r="BT4" s="13"/>
      <c r="BU4" s="13"/>
      <c r="BV4" s="13"/>
      <c r="BW4" s="13"/>
      <c r="BX4" s="13"/>
      <c r="BY4" s="13"/>
      <c r="BZ4" s="13"/>
      <c r="CA4" s="13"/>
      <c r="CB4" s="13"/>
      <c r="CC4" s="13"/>
      <c r="CD4" s="13"/>
      <c r="CE4" s="13"/>
      <c r="CF4" s="13"/>
      <c r="CG4" s="13"/>
      <c r="CH4" s="13"/>
      <c r="CI4" s="13"/>
      <c r="CJ4" s="13"/>
    </row>
    <row r="5" spans="1:88" x14ac:dyDescent="0.2">
      <c r="A5" s="1">
        <v>203023</v>
      </c>
      <c r="B5" s="2">
        <v>44463</v>
      </c>
      <c r="C5" s="13" t="s">
        <v>95</v>
      </c>
      <c r="D5" s="1" t="s">
        <v>128</v>
      </c>
      <c r="E5" s="1" t="s">
        <v>128</v>
      </c>
      <c r="F5" s="13" t="s">
        <v>74</v>
      </c>
      <c r="G5" s="13" t="s">
        <v>140</v>
      </c>
      <c r="H5" s="13" t="s">
        <v>75</v>
      </c>
      <c r="I5" s="13" t="s">
        <v>96</v>
      </c>
      <c r="J5" s="13" t="s">
        <v>141</v>
      </c>
      <c r="K5" s="13" t="s">
        <v>142</v>
      </c>
      <c r="L5" s="13" t="s">
        <v>88</v>
      </c>
      <c r="M5" s="13" t="s">
        <v>143</v>
      </c>
      <c r="N5" s="13" t="s">
        <v>144</v>
      </c>
      <c r="O5" s="13" t="s">
        <v>80</v>
      </c>
      <c r="P5" s="13" t="s">
        <v>145</v>
      </c>
      <c r="Q5" s="13" t="s">
        <v>146</v>
      </c>
      <c r="R5" s="13" t="s">
        <v>84</v>
      </c>
      <c r="S5" s="13" t="s">
        <v>147</v>
      </c>
      <c r="T5" s="13"/>
      <c r="U5" s="13" t="s">
        <v>70</v>
      </c>
      <c r="V5" s="13" t="s">
        <v>148</v>
      </c>
      <c r="W5" s="13"/>
      <c r="X5" s="13" t="s">
        <v>77</v>
      </c>
      <c r="Y5" s="13" t="s">
        <v>149</v>
      </c>
      <c r="Z5" s="13"/>
      <c r="AA5" s="13" t="s">
        <v>132</v>
      </c>
      <c r="AB5" s="13" t="s">
        <v>150</v>
      </c>
      <c r="AC5" s="13" t="s">
        <v>151</v>
      </c>
      <c r="AD5" s="13" t="s">
        <v>69</v>
      </c>
      <c r="AE5" s="13" t="s">
        <v>152</v>
      </c>
      <c r="AF5" s="13" t="s">
        <v>153</v>
      </c>
      <c r="AG5" s="13" t="s">
        <v>81</v>
      </c>
      <c r="AH5" s="13" t="s">
        <v>154</v>
      </c>
      <c r="AI5" s="13" t="s">
        <v>155</v>
      </c>
      <c r="AJ5" s="13" t="s">
        <v>97</v>
      </c>
      <c r="AK5" s="13" t="s">
        <v>156</v>
      </c>
      <c r="AL5" s="13" t="s">
        <v>157</v>
      </c>
      <c r="AM5" s="13" t="s">
        <v>79</v>
      </c>
      <c r="AN5" s="13" t="s">
        <v>158</v>
      </c>
      <c r="AO5" s="13" t="s">
        <v>159</v>
      </c>
      <c r="AP5" s="13" t="s">
        <v>72</v>
      </c>
      <c r="AQ5" s="13" t="s">
        <v>160</v>
      </c>
      <c r="AR5" s="13" t="s">
        <v>155</v>
      </c>
      <c r="AS5" s="13" t="s">
        <v>89</v>
      </c>
      <c r="AT5" s="13" t="s">
        <v>161</v>
      </c>
      <c r="AU5" s="13" t="s">
        <v>162</v>
      </c>
      <c r="AV5" s="13" t="s">
        <v>86</v>
      </c>
      <c r="AW5" s="13" t="s">
        <v>163</v>
      </c>
      <c r="AX5" s="13" t="s">
        <v>164</v>
      </c>
      <c r="AY5" s="13" t="s">
        <v>99</v>
      </c>
      <c r="AZ5" s="13" t="s">
        <v>165</v>
      </c>
      <c r="BA5" s="13"/>
      <c r="BB5" s="13" t="s">
        <v>71</v>
      </c>
      <c r="BC5" s="13" t="s">
        <v>166</v>
      </c>
      <c r="BD5" s="13" t="s">
        <v>167</v>
      </c>
      <c r="BE5" s="13"/>
      <c r="BF5" s="13"/>
      <c r="BG5" s="13"/>
      <c r="BH5" s="13"/>
      <c r="BI5" s="13"/>
      <c r="BJ5" s="13"/>
      <c r="BK5" s="13"/>
      <c r="BL5" s="13"/>
      <c r="BM5" s="13"/>
      <c r="BN5" s="13"/>
      <c r="BO5" s="13"/>
      <c r="BP5" s="13"/>
      <c r="BQ5" s="13"/>
      <c r="BR5" s="13"/>
      <c r="BS5" s="13"/>
      <c r="BT5" s="13"/>
      <c r="BU5" s="13"/>
      <c r="BV5" s="13"/>
      <c r="BW5" s="13"/>
      <c r="BX5" s="13"/>
      <c r="BY5" s="13"/>
      <c r="BZ5" s="13"/>
      <c r="CA5" s="13"/>
      <c r="CB5" s="13"/>
      <c r="CC5" s="13"/>
      <c r="CD5" s="13"/>
      <c r="CE5" s="13"/>
      <c r="CF5" s="13"/>
      <c r="CG5" s="13"/>
      <c r="CH5" s="13"/>
      <c r="CI5" s="13"/>
      <c r="CJ5" s="13"/>
    </row>
    <row r="6" spans="1:88" x14ac:dyDescent="0.2">
      <c r="A6" s="1">
        <v>203023</v>
      </c>
      <c r="B6" s="2">
        <v>44463</v>
      </c>
      <c r="C6" s="13" t="s">
        <v>103</v>
      </c>
      <c r="D6" s="1" t="s">
        <v>128</v>
      </c>
      <c r="E6" s="1" t="s">
        <v>128</v>
      </c>
      <c r="F6" s="13" t="s">
        <v>132</v>
      </c>
      <c r="G6" s="13" t="s">
        <v>168</v>
      </c>
      <c r="H6" s="13" t="s">
        <v>168</v>
      </c>
      <c r="I6" s="13" t="s">
        <v>84</v>
      </c>
      <c r="J6" s="13" t="s">
        <v>169</v>
      </c>
      <c r="K6" s="13" t="s">
        <v>169</v>
      </c>
      <c r="L6" s="13" t="s">
        <v>77</v>
      </c>
      <c r="M6" s="13" t="s">
        <v>170</v>
      </c>
      <c r="N6" s="13" t="s">
        <v>170</v>
      </c>
      <c r="O6" s="13" t="s">
        <v>132</v>
      </c>
      <c r="P6" s="13" t="s">
        <v>171</v>
      </c>
      <c r="Q6" s="13" t="s">
        <v>171</v>
      </c>
      <c r="R6" s="13"/>
      <c r="S6" s="13"/>
      <c r="T6" s="13"/>
      <c r="U6" s="13"/>
      <c r="V6" s="13"/>
      <c r="W6" s="13"/>
      <c r="X6" s="13"/>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row>
    <row r="7" spans="1:88" x14ac:dyDescent="0.2">
      <c r="A7" s="1">
        <v>203023</v>
      </c>
      <c r="B7" s="2">
        <v>44463</v>
      </c>
      <c r="C7" s="13" t="s">
        <v>93</v>
      </c>
      <c r="D7" s="1" t="s">
        <v>128</v>
      </c>
      <c r="E7" s="1" t="s">
        <v>128</v>
      </c>
      <c r="F7" s="13" t="s">
        <v>74</v>
      </c>
      <c r="G7" s="13" t="s">
        <v>94</v>
      </c>
      <c r="H7" s="13" t="s">
        <v>94</v>
      </c>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13"/>
      <c r="BV7" s="13"/>
      <c r="BW7" s="13"/>
      <c r="BX7" s="13"/>
      <c r="BY7" s="13"/>
      <c r="BZ7" s="13"/>
      <c r="CA7" s="13"/>
      <c r="CB7" s="13"/>
      <c r="CC7" s="13"/>
      <c r="CD7" s="13"/>
      <c r="CE7" s="13"/>
      <c r="CF7" s="13"/>
      <c r="CG7" s="13"/>
      <c r="CH7" s="13"/>
      <c r="CI7" s="13"/>
      <c r="CJ7" s="13"/>
    </row>
    <row r="8" spans="1:88" x14ac:dyDescent="0.2">
      <c r="A8" s="1">
        <v>203023</v>
      </c>
      <c r="B8" s="2">
        <v>44463</v>
      </c>
      <c r="C8" s="13" t="s">
        <v>95</v>
      </c>
      <c r="D8" s="1" t="s">
        <v>128</v>
      </c>
      <c r="E8" s="1" t="s">
        <v>128</v>
      </c>
      <c r="F8" s="13" t="s">
        <v>74</v>
      </c>
      <c r="G8" s="13" t="s">
        <v>75</v>
      </c>
      <c r="H8" s="13" t="s">
        <v>75</v>
      </c>
      <c r="I8" s="13" t="s">
        <v>96</v>
      </c>
      <c r="J8" s="13" t="s">
        <v>172</v>
      </c>
      <c r="K8" s="13" t="s">
        <v>173</v>
      </c>
      <c r="L8" s="13" t="s">
        <v>88</v>
      </c>
      <c r="M8" s="13" t="s">
        <v>174</v>
      </c>
      <c r="N8" s="13" t="s">
        <v>175</v>
      </c>
      <c r="O8" s="13" t="s">
        <v>80</v>
      </c>
      <c r="P8" s="13" t="s">
        <v>176</v>
      </c>
      <c r="Q8" s="13" t="s">
        <v>177</v>
      </c>
      <c r="R8" s="13"/>
      <c r="S8" s="13"/>
      <c r="T8" s="13"/>
      <c r="U8" s="13"/>
      <c r="V8" s="13"/>
      <c r="W8" s="13"/>
      <c r="X8" s="13"/>
      <c r="Y8" s="13"/>
      <c r="Z8" s="13"/>
      <c r="AA8" s="13"/>
      <c r="AB8" s="13"/>
      <c r="AC8" s="13"/>
      <c r="AD8" s="13"/>
      <c r="AE8" s="13"/>
      <c r="AF8" s="13"/>
      <c r="AG8" s="13"/>
      <c r="AH8" s="13"/>
      <c r="AI8" s="13"/>
      <c r="AJ8" s="13"/>
      <c r="AK8" s="13"/>
      <c r="AL8" s="13"/>
      <c r="AM8" s="13"/>
      <c r="AN8" s="13"/>
      <c r="AO8" s="13"/>
      <c r="AP8" s="13" t="s">
        <v>79</v>
      </c>
      <c r="AQ8" s="13" t="s">
        <v>178</v>
      </c>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row>
    <row r="9" spans="1:88" x14ac:dyDescent="0.2">
      <c r="A9" s="1">
        <v>203023</v>
      </c>
      <c r="B9" s="2">
        <v>44463</v>
      </c>
      <c r="C9" s="13" t="s">
        <v>100</v>
      </c>
      <c r="D9" s="1" t="s">
        <v>128</v>
      </c>
      <c r="E9" s="1" t="s">
        <v>128</v>
      </c>
      <c r="F9" s="13" t="s">
        <v>80</v>
      </c>
      <c r="G9" s="13" t="s">
        <v>179</v>
      </c>
      <c r="H9" s="13" t="s">
        <v>180</v>
      </c>
      <c r="I9" s="13" t="s">
        <v>79</v>
      </c>
      <c r="J9" s="13" t="s">
        <v>179</v>
      </c>
      <c r="K9" s="13" t="s">
        <v>181</v>
      </c>
      <c r="L9" s="13" t="s">
        <v>82</v>
      </c>
      <c r="M9" s="13" t="s">
        <v>182</v>
      </c>
      <c r="N9" s="13" t="s">
        <v>183</v>
      </c>
      <c r="O9" s="13" t="s">
        <v>70</v>
      </c>
      <c r="P9" s="13" t="s">
        <v>184</v>
      </c>
      <c r="Q9" s="13" t="s">
        <v>185</v>
      </c>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row>
    <row r="10" spans="1:88" x14ac:dyDescent="0.2">
      <c r="A10" s="1">
        <v>203023</v>
      </c>
      <c r="B10" s="2">
        <v>44463</v>
      </c>
      <c r="C10" s="13" t="s">
        <v>78</v>
      </c>
      <c r="D10" s="1" t="s">
        <v>128</v>
      </c>
      <c r="E10" s="1" t="s">
        <v>128</v>
      </c>
      <c r="F10" s="13" t="s">
        <v>89</v>
      </c>
      <c r="G10" s="13" t="s">
        <v>186</v>
      </c>
      <c r="H10" s="13" t="s">
        <v>83</v>
      </c>
      <c r="I10" s="13" t="s">
        <v>77</v>
      </c>
      <c r="J10" s="13" t="s">
        <v>187</v>
      </c>
      <c r="K10" s="13" t="s">
        <v>83</v>
      </c>
      <c r="L10" s="13" t="s">
        <v>89</v>
      </c>
      <c r="M10" s="13" t="s">
        <v>188</v>
      </c>
      <c r="N10" s="13" t="s">
        <v>83</v>
      </c>
      <c r="O10" s="13" t="s">
        <v>81</v>
      </c>
      <c r="P10" s="13" t="s">
        <v>189</v>
      </c>
      <c r="Q10" s="13" t="s">
        <v>83</v>
      </c>
      <c r="R10" s="13" t="s">
        <v>96</v>
      </c>
      <c r="S10" s="13" t="s">
        <v>190</v>
      </c>
      <c r="T10" s="13" t="s">
        <v>83</v>
      </c>
      <c r="U10" s="13" t="s">
        <v>79</v>
      </c>
      <c r="V10" s="13" t="s">
        <v>191</v>
      </c>
      <c r="W10" s="13" t="s">
        <v>83</v>
      </c>
      <c r="X10" s="13" t="s">
        <v>89</v>
      </c>
      <c r="Y10" s="13" t="s">
        <v>192</v>
      </c>
      <c r="Z10" s="13"/>
      <c r="AA10" s="13" t="s">
        <v>72</v>
      </c>
      <c r="AB10" s="13" t="s">
        <v>193</v>
      </c>
      <c r="AC10" s="13" t="s">
        <v>83</v>
      </c>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row>
    <row r="11" spans="1:88" x14ac:dyDescent="0.2">
      <c r="A11" s="1">
        <v>203023</v>
      </c>
      <c r="B11" s="2">
        <v>44463</v>
      </c>
      <c r="C11" s="13" t="s">
        <v>114</v>
      </c>
      <c r="D11" s="1" t="s">
        <v>128</v>
      </c>
      <c r="E11" s="1" t="s">
        <v>128</v>
      </c>
      <c r="F11" s="13" t="s">
        <v>88</v>
      </c>
      <c r="G11" s="13" t="s">
        <v>194</v>
      </c>
      <c r="H11" s="13" t="s">
        <v>115</v>
      </c>
      <c r="I11" s="13" t="s">
        <v>132</v>
      </c>
      <c r="J11" s="13" t="s">
        <v>195</v>
      </c>
      <c r="K11" s="13" t="s">
        <v>115</v>
      </c>
      <c r="L11" s="13" t="s">
        <v>90</v>
      </c>
      <c r="M11" s="13" t="s">
        <v>196</v>
      </c>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row>
    <row r="12" spans="1:88" x14ac:dyDescent="0.2">
      <c r="A12" s="1">
        <v>203023</v>
      </c>
      <c r="B12" s="2">
        <v>44463</v>
      </c>
      <c r="C12" s="13" t="s">
        <v>111</v>
      </c>
      <c r="D12" s="1" t="s">
        <v>128</v>
      </c>
      <c r="E12" s="1" t="s">
        <v>128</v>
      </c>
      <c r="F12" s="13" t="s">
        <v>69</v>
      </c>
      <c r="G12" s="13" t="s">
        <v>197</v>
      </c>
      <c r="H12" s="13" t="s">
        <v>112</v>
      </c>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row>
    <row r="13" spans="1:88" x14ac:dyDescent="0.2">
      <c r="A13" s="1">
        <v>203023</v>
      </c>
      <c r="B13" s="2">
        <v>44463</v>
      </c>
      <c r="C13" s="13" t="s">
        <v>104</v>
      </c>
      <c r="D13" s="1" t="s">
        <v>128</v>
      </c>
      <c r="E13" s="1" t="s">
        <v>128</v>
      </c>
      <c r="F13" s="13" t="s">
        <v>70</v>
      </c>
      <c r="G13" s="13" t="s">
        <v>198</v>
      </c>
      <c r="H13" s="13" t="s">
        <v>199</v>
      </c>
      <c r="I13" s="13" t="s">
        <v>88</v>
      </c>
      <c r="J13" s="13" t="s">
        <v>200</v>
      </c>
      <c r="K13" s="13" t="s">
        <v>201</v>
      </c>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row>
    <row r="14" spans="1:88" x14ac:dyDescent="0.2">
      <c r="A14" s="1">
        <v>203023</v>
      </c>
      <c r="B14" s="2">
        <v>44463</v>
      </c>
      <c r="C14" s="13" t="s">
        <v>68</v>
      </c>
      <c r="D14" s="1" t="s">
        <v>128</v>
      </c>
      <c r="E14" s="1" t="s">
        <v>128</v>
      </c>
      <c r="F14" s="13" t="s">
        <v>91</v>
      </c>
      <c r="G14" s="13" t="s">
        <v>202</v>
      </c>
      <c r="H14" s="13" t="s">
        <v>203</v>
      </c>
      <c r="I14" s="13" t="s">
        <v>99</v>
      </c>
      <c r="J14" s="13" t="s">
        <v>204</v>
      </c>
      <c r="K14" s="13" t="s">
        <v>205</v>
      </c>
      <c r="L14" s="13" t="s">
        <v>69</v>
      </c>
      <c r="M14" s="13" t="s">
        <v>206</v>
      </c>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row>
    <row r="15" spans="1:88" x14ac:dyDescent="0.2">
      <c r="A15" s="1">
        <v>203023</v>
      </c>
      <c r="B15" s="2">
        <v>44463</v>
      </c>
      <c r="C15" s="13" t="s">
        <v>68</v>
      </c>
      <c r="D15" s="1" t="s">
        <v>128</v>
      </c>
      <c r="E15" s="1" t="s">
        <v>128</v>
      </c>
      <c r="F15" s="13" t="s">
        <v>91</v>
      </c>
      <c r="G15" s="13" t="s">
        <v>202</v>
      </c>
      <c r="H15" s="13" t="s">
        <v>203</v>
      </c>
      <c r="I15" s="13" t="s">
        <v>99</v>
      </c>
      <c r="J15" s="13" t="s">
        <v>204</v>
      </c>
      <c r="K15" s="13" t="s">
        <v>205</v>
      </c>
      <c r="L15" s="13" t="s">
        <v>69</v>
      </c>
      <c r="M15" s="13" t="s">
        <v>206</v>
      </c>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row>
    <row r="16" spans="1:88" x14ac:dyDescent="0.2">
      <c r="A16" s="1">
        <v>203023</v>
      </c>
      <c r="B16" s="2">
        <v>44463</v>
      </c>
      <c r="C16" s="13" t="s">
        <v>101</v>
      </c>
      <c r="D16" s="1" t="s">
        <v>128</v>
      </c>
      <c r="E16" s="1" t="s">
        <v>128</v>
      </c>
      <c r="F16" s="13" t="s">
        <v>69</v>
      </c>
      <c r="G16" s="13" t="s">
        <v>207</v>
      </c>
      <c r="H16" s="13" t="s">
        <v>208</v>
      </c>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row>
    <row r="17" spans="1:88" x14ac:dyDescent="0.2">
      <c r="A17" s="1">
        <v>203023</v>
      </c>
      <c r="B17" s="2">
        <v>44463</v>
      </c>
      <c r="C17" s="13" t="s">
        <v>73</v>
      </c>
      <c r="D17" s="1" t="s">
        <v>128</v>
      </c>
      <c r="E17" s="1" t="s">
        <v>128</v>
      </c>
      <c r="F17" s="13" t="s">
        <v>74</v>
      </c>
      <c r="G17" s="13" t="s">
        <v>75</v>
      </c>
      <c r="H17" s="13" t="s">
        <v>75</v>
      </c>
      <c r="I17" s="13" t="s">
        <v>74</v>
      </c>
      <c r="J17" s="13" t="s">
        <v>75</v>
      </c>
      <c r="K17" s="13" t="s">
        <v>75</v>
      </c>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row>
    <row r="18" spans="1:88" x14ac:dyDescent="0.2">
      <c r="A18" s="1">
        <v>203023</v>
      </c>
      <c r="B18" s="2">
        <v>44463</v>
      </c>
      <c r="C18" s="13" t="s">
        <v>106</v>
      </c>
      <c r="D18" s="1" t="s">
        <v>128</v>
      </c>
      <c r="E18" s="1" t="s">
        <v>128</v>
      </c>
      <c r="F18" s="13" t="s">
        <v>79</v>
      </c>
      <c r="G18" s="13" t="s">
        <v>209</v>
      </c>
      <c r="H18" s="13" t="s">
        <v>210</v>
      </c>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row>
    <row r="19" spans="1:88" x14ac:dyDescent="0.2">
      <c r="A19" s="1">
        <v>203023</v>
      </c>
      <c r="B19" s="2">
        <v>44463</v>
      </c>
      <c r="C19" s="13" t="s">
        <v>102</v>
      </c>
      <c r="D19" s="1" t="s">
        <v>128</v>
      </c>
      <c r="E19" s="1" t="s">
        <v>128</v>
      </c>
      <c r="F19" s="13" t="s">
        <v>74</v>
      </c>
      <c r="G19" s="13" t="s">
        <v>211</v>
      </c>
      <c r="H19" s="13" t="s">
        <v>211</v>
      </c>
      <c r="I19" s="13"/>
      <c r="J19" s="13" t="s">
        <v>211</v>
      </c>
      <c r="K19" s="13" t="s">
        <v>211</v>
      </c>
      <c r="L19" s="13"/>
      <c r="M19" s="13" t="s">
        <v>211</v>
      </c>
      <c r="N19" s="13" t="s">
        <v>211</v>
      </c>
      <c r="O19" s="13"/>
      <c r="P19" s="13" t="s">
        <v>211</v>
      </c>
      <c r="Q19" s="13" t="s">
        <v>211</v>
      </c>
      <c r="R19" s="13"/>
      <c r="S19" s="13" t="s">
        <v>211</v>
      </c>
      <c r="T19" s="13" t="s">
        <v>211</v>
      </c>
      <c r="U19" s="13"/>
      <c r="V19" s="13" t="s">
        <v>211</v>
      </c>
      <c r="W19" s="13" t="s">
        <v>211</v>
      </c>
      <c r="X19" s="13"/>
      <c r="Y19" s="13" t="s">
        <v>211</v>
      </c>
      <c r="Z19" s="13" t="s">
        <v>211</v>
      </c>
      <c r="AA19" s="13"/>
      <c r="AB19" s="13" t="s">
        <v>211</v>
      </c>
      <c r="AC19" s="13" t="s">
        <v>211</v>
      </c>
      <c r="AD19" s="13"/>
      <c r="AE19" s="13" t="s">
        <v>211</v>
      </c>
      <c r="AF19" s="13" t="s">
        <v>211</v>
      </c>
      <c r="AG19" s="13"/>
      <c r="AH19" s="13" t="s">
        <v>211</v>
      </c>
      <c r="AI19" s="13" t="s">
        <v>211</v>
      </c>
      <c r="AJ19" s="13"/>
      <c r="AK19" s="13" t="s">
        <v>211</v>
      </c>
      <c r="AL19" s="13" t="s">
        <v>211</v>
      </c>
      <c r="AM19" s="13"/>
      <c r="AN19" s="13" t="s">
        <v>211</v>
      </c>
      <c r="AO19" s="13" t="s">
        <v>211</v>
      </c>
      <c r="AP19" s="13"/>
      <c r="AQ19" s="13" t="s">
        <v>211</v>
      </c>
      <c r="AR19" s="13" t="s">
        <v>211</v>
      </c>
      <c r="AS19" s="13"/>
      <c r="AT19" s="13" t="s">
        <v>211</v>
      </c>
      <c r="AU19" s="13" t="s">
        <v>211</v>
      </c>
      <c r="AV19" s="13"/>
      <c r="AW19" s="13" t="s">
        <v>211</v>
      </c>
      <c r="AX19" s="13" t="s">
        <v>211</v>
      </c>
      <c r="AY19" s="13"/>
      <c r="AZ19" s="13" t="s">
        <v>211</v>
      </c>
      <c r="BA19" s="13" t="s">
        <v>211</v>
      </c>
      <c r="BB19" s="13"/>
      <c r="BC19" s="13" t="s">
        <v>211</v>
      </c>
      <c r="BD19" s="13" t="s">
        <v>211</v>
      </c>
      <c r="BE19" s="13"/>
      <c r="BF19" s="13" t="s">
        <v>211</v>
      </c>
      <c r="BG19" s="13" t="s">
        <v>211</v>
      </c>
      <c r="BH19" s="13"/>
      <c r="BI19" s="13" t="s">
        <v>211</v>
      </c>
      <c r="BJ19" s="13" t="s">
        <v>211</v>
      </c>
      <c r="BK19" s="13"/>
      <c r="BL19" s="13" t="s">
        <v>211</v>
      </c>
      <c r="BM19" s="13" t="s">
        <v>211</v>
      </c>
      <c r="BN19" s="13"/>
      <c r="BO19" s="13" t="s">
        <v>211</v>
      </c>
      <c r="BP19" s="13" t="s">
        <v>211</v>
      </c>
      <c r="BQ19" s="13"/>
      <c r="BR19" s="13"/>
      <c r="BS19" s="13"/>
      <c r="BT19" s="13"/>
      <c r="BU19" s="13"/>
      <c r="BV19" s="13"/>
      <c r="BW19" s="13"/>
      <c r="BX19" s="13"/>
      <c r="BY19" s="13"/>
      <c r="BZ19" s="13"/>
      <c r="CA19" s="13"/>
      <c r="CB19" s="13"/>
      <c r="CC19" s="13"/>
      <c r="CD19" s="13"/>
      <c r="CE19" s="13"/>
      <c r="CF19" s="13"/>
      <c r="CG19" s="13"/>
      <c r="CH19" s="13"/>
      <c r="CI19" s="13"/>
      <c r="CJ19" s="13"/>
    </row>
    <row r="20" spans="1:88" ht="15.75" customHeight="1" x14ac:dyDescent="0.2">
      <c r="A20" s="1">
        <v>203023</v>
      </c>
      <c r="B20" s="2">
        <v>44463</v>
      </c>
      <c r="C20" s="13" t="s">
        <v>92</v>
      </c>
      <c r="D20" s="1" t="s">
        <v>128</v>
      </c>
      <c r="E20" s="1" t="s">
        <v>128</v>
      </c>
      <c r="F20" s="13" t="s">
        <v>96</v>
      </c>
      <c r="G20" s="13" t="s">
        <v>75</v>
      </c>
      <c r="H20" s="13" t="s">
        <v>75</v>
      </c>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row>
    <row r="21" spans="1:88" ht="15.75" customHeight="1" x14ac:dyDescent="0.2">
      <c r="A21" s="1">
        <v>203023</v>
      </c>
      <c r="B21" s="2">
        <v>44463</v>
      </c>
      <c r="C21" s="13" t="s">
        <v>105</v>
      </c>
      <c r="D21" s="1" t="s">
        <v>128</v>
      </c>
      <c r="E21" s="1" t="s">
        <v>128</v>
      </c>
      <c r="F21" s="13" t="s">
        <v>96</v>
      </c>
      <c r="G21" s="13" t="s">
        <v>212</v>
      </c>
      <c r="H21" s="13" t="s">
        <v>213</v>
      </c>
      <c r="I21" s="13" t="s">
        <v>88</v>
      </c>
      <c r="J21" s="13" t="s">
        <v>214</v>
      </c>
      <c r="K21" s="13" t="s">
        <v>215</v>
      </c>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row>
    <row r="22" spans="1:88" ht="15.75" customHeight="1" x14ac:dyDescent="0.2">
      <c r="A22" s="1">
        <v>203023</v>
      </c>
      <c r="B22" s="2">
        <v>44463</v>
      </c>
      <c r="C22" s="13" t="s">
        <v>109</v>
      </c>
      <c r="D22" s="1" t="s">
        <v>128</v>
      </c>
      <c r="E22" s="1" t="s">
        <v>128</v>
      </c>
      <c r="F22" s="13" t="s">
        <v>79</v>
      </c>
      <c r="G22" s="13" t="s">
        <v>216</v>
      </c>
      <c r="H22" s="13" t="s">
        <v>217</v>
      </c>
      <c r="I22" s="13" t="s">
        <v>70</v>
      </c>
      <c r="J22" s="13" t="s">
        <v>218</v>
      </c>
      <c r="K22" s="13" t="s">
        <v>219</v>
      </c>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row>
    <row r="23" spans="1:88" ht="15.75" customHeight="1" x14ac:dyDescent="0.2">
      <c r="A23" s="1">
        <v>203023</v>
      </c>
      <c r="B23" s="2">
        <v>44463</v>
      </c>
      <c r="C23" s="13" t="s">
        <v>108</v>
      </c>
      <c r="D23" s="1" t="s">
        <v>128</v>
      </c>
      <c r="E23" s="1" t="s">
        <v>128</v>
      </c>
      <c r="F23" s="13" t="s">
        <v>86</v>
      </c>
      <c r="G23" s="13" t="s">
        <v>220</v>
      </c>
      <c r="H23" s="13" t="s">
        <v>221</v>
      </c>
      <c r="I23" s="13" t="s">
        <v>71</v>
      </c>
      <c r="J23" s="13" t="s">
        <v>222</v>
      </c>
      <c r="K23" s="13" t="s">
        <v>223</v>
      </c>
      <c r="L23" s="13" t="s">
        <v>99</v>
      </c>
      <c r="M23" s="13" t="s">
        <v>224</v>
      </c>
      <c r="N23" s="13" t="s">
        <v>225</v>
      </c>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row>
    <row r="24" spans="1:88" ht="15.75" customHeight="1" x14ac:dyDescent="0.2">
      <c r="A24" s="1">
        <v>203023</v>
      </c>
      <c r="B24" s="2">
        <v>44463</v>
      </c>
      <c r="C24" s="13" t="s">
        <v>117</v>
      </c>
      <c r="D24" s="1" t="s">
        <v>128</v>
      </c>
      <c r="E24" s="1" t="s">
        <v>128</v>
      </c>
      <c r="F24" s="13" t="s">
        <v>89</v>
      </c>
      <c r="G24" s="13" t="s">
        <v>226</v>
      </c>
      <c r="H24" s="13" t="s">
        <v>75</v>
      </c>
      <c r="I24" s="13"/>
      <c r="J24" s="13" t="s">
        <v>75</v>
      </c>
      <c r="K24" s="13" t="s">
        <v>75</v>
      </c>
      <c r="L24" s="13"/>
      <c r="M24" s="13" t="s">
        <v>75</v>
      </c>
      <c r="N24" s="13" t="s">
        <v>75</v>
      </c>
      <c r="O24" s="13"/>
      <c r="P24" s="13" t="s">
        <v>75</v>
      </c>
      <c r="Q24" s="13" t="s">
        <v>75</v>
      </c>
      <c r="R24" s="13"/>
      <c r="S24" s="13" t="s">
        <v>75</v>
      </c>
      <c r="T24" s="13" t="s">
        <v>75</v>
      </c>
      <c r="U24" s="13"/>
      <c r="V24" s="13" t="s">
        <v>75</v>
      </c>
      <c r="W24" s="13" t="s">
        <v>75</v>
      </c>
      <c r="X24" s="13"/>
      <c r="Y24" s="13" t="s">
        <v>75</v>
      </c>
      <c r="Z24" s="13" t="s">
        <v>75</v>
      </c>
      <c r="AA24" s="13"/>
      <c r="AB24" s="13" t="s">
        <v>75</v>
      </c>
      <c r="AC24" s="13" t="s">
        <v>75</v>
      </c>
      <c r="AD24" s="13"/>
      <c r="AE24" s="13" t="s">
        <v>75</v>
      </c>
      <c r="AF24" s="13" t="s">
        <v>75</v>
      </c>
      <c r="AG24" s="13"/>
      <c r="AH24" s="13" t="s">
        <v>75</v>
      </c>
      <c r="AI24" s="13" t="s">
        <v>75</v>
      </c>
      <c r="AJ24" s="13"/>
      <c r="AK24" s="13" t="s">
        <v>75</v>
      </c>
      <c r="AL24" s="13" t="s">
        <v>75</v>
      </c>
      <c r="AM24" s="13"/>
      <c r="AN24" s="13" t="s">
        <v>75</v>
      </c>
      <c r="AO24" s="13" t="s">
        <v>75</v>
      </c>
      <c r="AP24" s="13"/>
      <c r="AQ24" s="13" t="s">
        <v>75</v>
      </c>
      <c r="AR24" s="13" t="s">
        <v>75</v>
      </c>
      <c r="AS24" s="13"/>
      <c r="AT24" s="13" t="s">
        <v>75</v>
      </c>
      <c r="AU24" s="13" t="s">
        <v>75</v>
      </c>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row>
    <row r="25" spans="1:88" ht="15.75" customHeight="1" x14ac:dyDescent="0.2">
      <c r="A25" s="1">
        <v>203023</v>
      </c>
      <c r="B25" s="2">
        <v>44463</v>
      </c>
      <c r="C25" s="13" t="s">
        <v>107</v>
      </c>
      <c r="D25" s="1" t="s">
        <v>128</v>
      </c>
      <c r="E25" s="1" t="s">
        <v>128</v>
      </c>
      <c r="F25" s="13" t="s">
        <v>96</v>
      </c>
      <c r="G25" s="13" t="s">
        <v>227</v>
      </c>
      <c r="H25" s="13" t="s">
        <v>228</v>
      </c>
      <c r="I25" s="13" t="s">
        <v>69</v>
      </c>
      <c r="J25" s="13" t="s">
        <v>229</v>
      </c>
      <c r="K25" s="13" t="s">
        <v>230</v>
      </c>
      <c r="L25" s="13" t="s">
        <v>80</v>
      </c>
      <c r="M25" s="13" t="s">
        <v>231</v>
      </c>
      <c r="N25" s="13" t="s">
        <v>232</v>
      </c>
      <c r="O25" s="13" t="s">
        <v>132</v>
      </c>
      <c r="P25" s="13" t="s">
        <v>233</v>
      </c>
      <c r="Q25" s="13"/>
      <c r="R25" s="13" t="s">
        <v>88</v>
      </c>
      <c r="S25" s="13" t="s">
        <v>234</v>
      </c>
      <c r="T25" s="13" t="s">
        <v>235</v>
      </c>
      <c r="U25" s="13" t="s">
        <v>74</v>
      </c>
      <c r="V25" s="13" t="s">
        <v>236</v>
      </c>
      <c r="W25" s="13" t="s">
        <v>237</v>
      </c>
      <c r="X25" s="13" t="s">
        <v>74</v>
      </c>
      <c r="Y25" s="13" t="s">
        <v>238</v>
      </c>
      <c r="Z25" s="13" t="s">
        <v>239</v>
      </c>
      <c r="AA25" s="13" t="s">
        <v>69</v>
      </c>
      <c r="AB25" s="13" t="s">
        <v>240</v>
      </c>
      <c r="AC25" s="13" t="s">
        <v>241</v>
      </c>
      <c r="AD25" s="13" t="s">
        <v>74</v>
      </c>
      <c r="AE25" s="13" t="s">
        <v>242</v>
      </c>
      <c r="AF25" s="13" t="s">
        <v>243</v>
      </c>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row>
    <row r="26" spans="1:88" ht="15.75" customHeight="1" x14ac:dyDescent="0.2">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row>
    <row r="27" spans="1:88" ht="15.75" customHeight="1" x14ac:dyDescent="0.2">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row>
    <row r="28" spans="1:88" ht="15.75" customHeight="1" x14ac:dyDescent="0.2"/>
    <row r="29" spans="1:88" ht="15.75" customHeight="1" x14ac:dyDescent="0.2"/>
    <row r="30" spans="1:88" ht="15.75" customHeight="1" x14ac:dyDescent="0.2"/>
    <row r="31" spans="1:88" ht="15.75" customHeight="1" x14ac:dyDescent="0.2"/>
    <row r="32" spans="1:88"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sheetData>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H113"/>
  <sheetViews>
    <sheetView workbookViewId="0">
      <pane ySplit="1" topLeftCell="A2" activePane="bottomLeft" state="frozen"/>
      <selection pane="bottomLeft" activeCell="E26" sqref="E26"/>
    </sheetView>
  </sheetViews>
  <sheetFormatPr baseColWidth="10" defaultColWidth="11.5" defaultRowHeight="15" x14ac:dyDescent="0.2"/>
  <cols>
    <col min="1" max="1" width="11.5" style="1"/>
    <col min="2" max="2" width="23" style="1" customWidth="1"/>
    <col min="3" max="3" width="40.83203125" style="1" customWidth="1"/>
    <col min="4" max="4" width="41" style="1" customWidth="1"/>
    <col min="5" max="5" width="38.5" style="1" bestFit="1" customWidth="1"/>
    <col min="6" max="6" width="26.1640625" style="1" bestFit="1" customWidth="1"/>
    <col min="7" max="7" width="31.33203125" style="1" customWidth="1"/>
    <col min="8" max="8" width="49.5" style="1" customWidth="1"/>
    <col min="9" max="16384" width="11.5" style="1"/>
  </cols>
  <sheetData>
    <row r="1" spans="1:8" s="7" customFormat="1" x14ac:dyDescent="0.2">
      <c r="A1" s="8" t="s">
        <v>119</v>
      </c>
      <c r="B1" s="8" t="s">
        <v>120</v>
      </c>
      <c r="C1" s="8" t="s">
        <v>121</v>
      </c>
      <c r="D1" s="8" t="s">
        <v>124</v>
      </c>
      <c r="E1" s="8" t="s">
        <v>125</v>
      </c>
      <c r="F1" s="8" t="s">
        <v>118</v>
      </c>
      <c r="G1" s="8" t="s">
        <v>122</v>
      </c>
      <c r="H1" s="8" t="s">
        <v>123</v>
      </c>
    </row>
    <row r="2" spans="1:8" x14ac:dyDescent="0.2">
      <c r="A2" s="1">
        <v>203023</v>
      </c>
      <c r="B2" s="1" t="s">
        <v>244</v>
      </c>
      <c r="C2" s="1" t="s">
        <v>2</v>
      </c>
      <c r="D2" s="1" t="s">
        <v>128</v>
      </c>
      <c r="E2" s="1" t="s">
        <v>128</v>
      </c>
      <c r="F2" s="1" t="s">
        <v>5</v>
      </c>
      <c r="G2" s="1" t="s">
        <v>6</v>
      </c>
      <c r="H2" s="1" t="s">
        <v>7</v>
      </c>
    </row>
    <row r="3" spans="1:8" x14ac:dyDescent="0.2">
      <c r="A3" s="1">
        <v>203023</v>
      </c>
      <c r="B3" s="1" t="s">
        <v>244</v>
      </c>
      <c r="C3" s="1" t="s">
        <v>2</v>
      </c>
      <c r="D3" s="1" t="s">
        <v>128</v>
      </c>
      <c r="E3" s="1" t="s">
        <v>128</v>
      </c>
      <c r="F3" s="1" t="s">
        <v>8</v>
      </c>
      <c r="G3" s="1" t="s">
        <v>9</v>
      </c>
      <c r="H3" s="1" t="s">
        <v>10</v>
      </c>
    </row>
    <row r="4" spans="1:8" x14ac:dyDescent="0.2">
      <c r="A4" s="1">
        <v>203023</v>
      </c>
      <c r="B4" s="1" t="s">
        <v>244</v>
      </c>
      <c r="C4" s="1" t="s">
        <v>2</v>
      </c>
      <c r="D4" s="1" t="s">
        <v>128</v>
      </c>
      <c r="E4" s="1" t="s">
        <v>128</v>
      </c>
      <c r="F4" s="1" t="s">
        <v>11</v>
      </c>
      <c r="G4" s="1" t="s">
        <v>12</v>
      </c>
      <c r="H4" s="1" t="s">
        <v>13</v>
      </c>
    </row>
    <row r="5" spans="1:8" x14ac:dyDescent="0.2">
      <c r="A5" s="1">
        <v>203023</v>
      </c>
      <c r="B5" s="1" t="s">
        <v>244</v>
      </c>
      <c r="C5" s="1" t="s">
        <v>2</v>
      </c>
      <c r="D5" s="1" t="s">
        <v>128</v>
      </c>
      <c r="E5" s="1" t="s">
        <v>128</v>
      </c>
      <c r="F5" s="1" t="s">
        <v>14</v>
      </c>
      <c r="G5" s="1" t="s">
        <v>15</v>
      </c>
      <c r="H5" s="1" t="s">
        <v>16</v>
      </c>
    </row>
    <row r="6" spans="1:8" x14ac:dyDescent="0.2">
      <c r="A6" s="1">
        <v>203023</v>
      </c>
      <c r="B6" s="1" t="s">
        <v>244</v>
      </c>
      <c r="C6" s="1" t="s">
        <v>2</v>
      </c>
      <c r="D6" s="1" t="s">
        <v>128</v>
      </c>
      <c r="E6" s="1" t="s">
        <v>128</v>
      </c>
      <c r="F6" s="1" t="s">
        <v>17</v>
      </c>
      <c r="G6" s="1" t="s">
        <v>18</v>
      </c>
      <c r="H6" s="1" t="s">
        <v>19</v>
      </c>
    </row>
    <row r="7" spans="1:8" x14ac:dyDescent="0.2">
      <c r="A7" s="1">
        <v>203023</v>
      </c>
      <c r="B7" s="1" t="s">
        <v>244</v>
      </c>
      <c r="C7" s="1" t="s">
        <v>2</v>
      </c>
      <c r="D7" s="1" t="s">
        <v>128</v>
      </c>
      <c r="E7" s="1" t="s">
        <v>128</v>
      </c>
      <c r="F7" s="1" t="s">
        <v>20</v>
      </c>
      <c r="G7" s="1" t="s">
        <v>21</v>
      </c>
      <c r="H7" s="1" t="s">
        <v>22</v>
      </c>
    </row>
    <row r="8" spans="1:8" x14ac:dyDescent="0.2">
      <c r="A8" s="1">
        <v>203023</v>
      </c>
      <c r="B8" s="1" t="s">
        <v>244</v>
      </c>
      <c r="C8" s="1" t="s">
        <v>2</v>
      </c>
      <c r="D8" s="1" t="s">
        <v>128</v>
      </c>
      <c r="E8" s="1" t="s">
        <v>128</v>
      </c>
      <c r="F8" s="1" t="s">
        <v>23</v>
      </c>
      <c r="G8" s="1" t="s">
        <v>24</v>
      </c>
      <c r="H8" s="1" t="s">
        <v>25</v>
      </c>
    </row>
    <row r="9" spans="1:8" x14ac:dyDescent="0.2">
      <c r="A9" s="1">
        <v>203023</v>
      </c>
      <c r="B9" s="1" t="s">
        <v>244</v>
      </c>
      <c r="C9" s="1" t="s">
        <v>2</v>
      </c>
      <c r="D9" s="1" t="s">
        <v>128</v>
      </c>
      <c r="E9" s="1" t="s">
        <v>128</v>
      </c>
      <c r="F9" s="1" t="s">
        <v>26</v>
      </c>
      <c r="G9" s="1" t="s">
        <v>27</v>
      </c>
      <c r="H9" s="1" t="s">
        <v>28</v>
      </c>
    </row>
    <row r="10" spans="1:8" x14ac:dyDescent="0.2">
      <c r="A10" s="1">
        <v>203023</v>
      </c>
      <c r="B10" s="1" t="s">
        <v>244</v>
      </c>
      <c r="C10" s="1" t="s">
        <v>2</v>
      </c>
      <c r="D10" s="1" t="s">
        <v>128</v>
      </c>
      <c r="E10" s="1" t="s">
        <v>128</v>
      </c>
      <c r="F10" s="1" t="s">
        <v>29</v>
      </c>
      <c r="G10" s="1" t="s">
        <v>30</v>
      </c>
      <c r="H10" s="1" t="s">
        <v>31</v>
      </c>
    </row>
    <row r="11" spans="1:8" x14ac:dyDescent="0.2">
      <c r="A11" s="1">
        <v>203023</v>
      </c>
      <c r="B11" s="1" t="s">
        <v>244</v>
      </c>
      <c r="C11" s="1" t="s">
        <v>2</v>
      </c>
      <c r="D11" s="1" t="s">
        <v>128</v>
      </c>
      <c r="E11" s="1" t="s">
        <v>128</v>
      </c>
      <c r="F11" s="1" t="s">
        <v>32</v>
      </c>
      <c r="G11" s="1" t="s">
        <v>33</v>
      </c>
      <c r="H11" s="1" t="s">
        <v>34</v>
      </c>
    </row>
    <row r="12" spans="1:8" x14ac:dyDescent="0.2">
      <c r="A12" s="1">
        <v>203023</v>
      </c>
      <c r="B12" s="1" t="s">
        <v>244</v>
      </c>
      <c r="C12" s="1" t="s">
        <v>2</v>
      </c>
      <c r="D12" s="1" t="s">
        <v>128</v>
      </c>
      <c r="E12" s="1" t="s">
        <v>128</v>
      </c>
      <c r="F12" s="1" t="s">
        <v>35</v>
      </c>
      <c r="G12" s="1" t="s">
        <v>36</v>
      </c>
      <c r="H12" s="1" t="s">
        <v>37</v>
      </c>
    </row>
    <row r="13" spans="1:8" x14ac:dyDescent="0.2">
      <c r="A13" s="1">
        <v>203023</v>
      </c>
      <c r="B13" s="1" t="s">
        <v>244</v>
      </c>
      <c r="C13" s="1" t="s">
        <v>2</v>
      </c>
      <c r="D13" s="1" t="s">
        <v>128</v>
      </c>
      <c r="E13" s="1" t="s">
        <v>128</v>
      </c>
      <c r="F13" s="1" t="s">
        <v>38</v>
      </c>
      <c r="G13" s="1" t="s">
        <v>39</v>
      </c>
      <c r="H13" s="1" t="s">
        <v>40</v>
      </c>
    </row>
    <row r="14" spans="1:8" x14ac:dyDescent="0.2">
      <c r="A14" s="1">
        <v>203023</v>
      </c>
      <c r="B14" s="1" t="s">
        <v>244</v>
      </c>
      <c r="C14" s="1" t="s">
        <v>2</v>
      </c>
      <c r="D14" s="1" t="s">
        <v>128</v>
      </c>
      <c r="E14" s="1" t="s">
        <v>128</v>
      </c>
      <c r="F14" s="1" t="s">
        <v>41</v>
      </c>
      <c r="G14" s="1" t="s">
        <v>42</v>
      </c>
      <c r="H14" s="1" t="s">
        <v>43</v>
      </c>
    </row>
    <row r="15" spans="1:8" x14ac:dyDescent="0.2">
      <c r="A15" s="1">
        <v>203023</v>
      </c>
      <c r="B15" s="1" t="s">
        <v>244</v>
      </c>
      <c r="C15" s="1" t="s">
        <v>2</v>
      </c>
      <c r="D15" s="1" t="s">
        <v>128</v>
      </c>
      <c r="E15" s="1" t="s">
        <v>128</v>
      </c>
      <c r="F15" s="1" t="s">
        <v>44</v>
      </c>
      <c r="G15" s="1" t="s">
        <v>45</v>
      </c>
      <c r="H15" s="1" t="s">
        <v>46</v>
      </c>
    </row>
    <row r="16" spans="1:8" x14ac:dyDescent="0.2">
      <c r="A16" s="1">
        <v>203023</v>
      </c>
      <c r="B16" s="1" t="s">
        <v>244</v>
      </c>
      <c r="C16" s="1" t="s">
        <v>2</v>
      </c>
      <c r="D16" s="1" t="s">
        <v>128</v>
      </c>
      <c r="E16" s="1" t="s">
        <v>128</v>
      </c>
      <c r="F16" s="1" t="s">
        <v>47</v>
      </c>
      <c r="G16" s="1" t="s">
        <v>48</v>
      </c>
      <c r="H16" s="1" t="s">
        <v>49</v>
      </c>
    </row>
    <row r="17" spans="1:8" x14ac:dyDescent="0.2">
      <c r="A17" s="1">
        <v>203023</v>
      </c>
      <c r="B17" s="1" t="s">
        <v>244</v>
      </c>
      <c r="C17" s="1" t="s">
        <v>2</v>
      </c>
      <c r="D17" s="1" t="s">
        <v>128</v>
      </c>
      <c r="E17" s="1" t="s">
        <v>128</v>
      </c>
      <c r="F17" s="1" t="s">
        <v>50</v>
      </c>
      <c r="G17" s="1" t="s">
        <v>51</v>
      </c>
      <c r="H17" s="1" t="s">
        <v>52</v>
      </c>
    </row>
    <row r="18" spans="1:8" x14ac:dyDescent="0.2">
      <c r="A18" s="1">
        <v>203023</v>
      </c>
      <c r="B18" s="1" t="s">
        <v>244</v>
      </c>
      <c r="C18" s="1" t="s">
        <v>2</v>
      </c>
      <c r="D18" s="1" t="s">
        <v>128</v>
      </c>
      <c r="E18" s="1" t="s">
        <v>128</v>
      </c>
      <c r="F18" s="1" t="s">
        <v>53</v>
      </c>
      <c r="G18" s="1" t="s">
        <v>54</v>
      </c>
      <c r="H18" s="1" t="s">
        <v>55</v>
      </c>
    </row>
    <row r="19" spans="1:8" x14ac:dyDescent="0.2">
      <c r="A19" s="1">
        <v>203023</v>
      </c>
      <c r="B19" s="1" t="s">
        <v>244</v>
      </c>
      <c r="C19" s="1" t="s">
        <v>2</v>
      </c>
      <c r="D19" s="1" t="s">
        <v>128</v>
      </c>
      <c r="E19" s="1" t="s">
        <v>128</v>
      </c>
      <c r="F19" s="1" t="s">
        <v>56</v>
      </c>
      <c r="G19" s="1" t="s">
        <v>57</v>
      </c>
      <c r="H19" s="1" t="s">
        <v>58</v>
      </c>
    </row>
    <row r="20" spans="1:8" x14ac:dyDescent="0.2">
      <c r="A20" s="1">
        <v>203023</v>
      </c>
      <c r="B20" s="1" t="s">
        <v>244</v>
      </c>
      <c r="C20" s="1" t="s">
        <v>2</v>
      </c>
      <c r="D20" s="1" t="s">
        <v>128</v>
      </c>
      <c r="E20" s="1" t="s">
        <v>128</v>
      </c>
      <c r="F20" s="1" t="s">
        <v>59</v>
      </c>
      <c r="G20" s="1" t="s">
        <v>60</v>
      </c>
      <c r="H20" s="1" t="s">
        <v>61</v>
      </c>
    </row>
    <row r="21" spans="1:8" x14ac:dyDescent="0.2">
      <c r="A21" s="1">
        <v>203023</v>
      </c>
      <c r="B21" s="1" t="s">
        <v>244</v>
      </c>
      <c r="C21" s="1" t="s">
        <v>2</v>
      </c>
      <c r="D21" s="1" t="s">
        <v>128</v>
      </c>
      <c r="E21" s="1" t="s">
        <v>128</v>
      </c>
      <c r="F21" s="1" t="s">
        <v>62</v>
      </c>
      <c r="G21" s="1" t="s">
        <v>63</v>
      </c>
      <c r="H21" s="1" t="s">
        <v>64</v>
      </c>
    </row>
    <row r="22" spans="1:8" x14ac:dyDescent="0.2">
      <c r="A22" s="1">
        <v>203023</v>
      </c>
      <c r="B22" s="1" t="s">
        <v>244</v>
      </c>
      <c r="C22" s="1" t="s">
        <v>2</v>
      </c>
      <c r="D22" s="1" t="s">
        <v>128</v>
      </c>
      <c r="E22" s="1" t="s">
        <v>128</v>
      </c>
      <c r="F22" s="1" t="s">
        <v>65</v>
      </c>
      <c r="G22" s="1" t="s">
        <v>66</v>
      </c>
      <c r="H22" s="1" t="s">
        <v>67</v>
      </c>
    </row>
    <row r="23" spans="1:8" x14ac:dyDescent="0.2">
      <c r="A23" s="1">
        <v>203023</v>
      </c>
      <c r="B23" s="1" t="s">
        <v>244</v>
      </c>
      <c r="C23" s="1" t="s">
        <v>129</v>
      </c>
      <c r="D23" s="1" t="s">
        <v>128</v>
      </c>
      <c r="E23" s="1" t="s">
        <v>128</v>
      </c>
      <c r="F23" s="1" t="s">
        <v>74</v>
      </c>
      <c r="G23" s="1" t="s">
        <v>130</v>
      </c>
      <c r="H23" s="1" t="s">
        <v>75</v>
      </c>
    </row>
    <row r="24" spans="1:8" x14ac:dyDescent="0.2">
      <c r="A24" s="1">
        <v>203023</v>
      </c>
      <c r="B24" s="1" t="s">
        <v>244</v>
      </c>
      <c r="C24" s="1" t="s">
        <v>129</v>
      </c>
      <c r="D24" s="1" t="s">
        <v>128</v>
      </c>
      <c r="E24" s="1" t="s">
        <v>128</v>
      </c>
      <c r="F24" s="1" t="s">
        <v>80</v>
      </c>
      <c r="G24" s="1" t="s">
        <v>131</v>
      </c>
      <c r="H24" s="1" t="s">
        <v>75</v>
      </c>
    </row>
    <row r="25" spans="1:8" x14ac:dyDescent="0.2">
      <c r="A25" s="1">
        <v>203023</v>
      </c>
      <c r="B25" s="1" t="s">
        <v>244</v>
      </c>
      <c r="C25" s="1" t="s">
        <v>129</v>
      </c>
      <c r="D25" s="1" t="s">
        <v>128</v>
      </c>
      <c r="E25" s="1" t="s">
        <v>128</v>
      </c>
      <c r="F25" s="1" t="s">
        <v>132</v>
      </c>
      <c r="G25" s="1" t="s">
        <v>133</v>
      </c>
      <c r="H25" s="1" t="s">
        <v>75</v>
      </c>
    </row>
    <row r="26" spans="1:8" x14ac:dyDescent="0.2">
      <c r="A26" s="1">
        <v>203023</v>
      </c>
      <c r="B26" s="1" t="s">
        <v>244</v>
      </c>
      <c r="C26" s="1" t="s">
        <v>129</v>
      </c>
      <c r="D26" s="1" t="s">
        <v>128</v>
      </c>
      <c r="E26" s="1" t="s">
        <v>128</v>
      </c>
      <c r="F26" s="1" t="s">
        <v>79</v>
      </c>
      <c r="G26" s="1" t="s">
        <v>134</v>
      </c>
      <c r="H26" s="1" t="s">
        <v>75</v>
      </c>
    </row>
    <row r="27" spans="1:8" x14ac:dyDescent="0.2">
      <c r="A27" s="1">
        <v>203023</v>
      </c>
      <c r="B27" s="1" t="s">
        <v>244</v>
      </c>
      <c r="C27" s="1" t="s">
        <v>129</v>
      </c>
      <c r="D27" s="1" t="s">
        <v>128</v>
      </c>
      <c r="E27" s="1" t="s">
        <v>128</v>
      </c>
      <c r="F27" s="1" t="s">
        <v>99</v>
      </c>
      <c r="G27" s="1" t="s">
        <v>135</v>
      </c>
      <c r="H27" s="1" t="s">
        <v>75</v>
      </c>
    </row>
    <row r="28" spans="1:8" x14ac:dyDescent="0.2">
      <c r="A28" s="1">
        <v>203023</v>
      </c>
      <c r="B28" s="1" t="s">
        <v>244</v>
      </c>
      <c r="C28" s="1" t="s">
        <v>116</v>
      </c>
      <c r="D28" s="1" t="s">
        <v>128</v>
      </c>
      <c r="E28" s="1" t="s">
        <v>128</v>
      </c>
      <c r="F28" s="1" t="s">
        <v>74</v>
      </c>
      <c r="G28" s="1" t="s">
        <v>136</v>
      </c>
      <c r="H28" s="1" t="s">
        <v>75</v>
      </c>
    </row>
    <row r="29" spans="1:8" x14ac:dyDescent="0.2">
      <c r="A29" s="1">
        <v>203023</v>
      </c>
      <c r="B29" s="1" t="s">
        <v>244</v>
      </c>
      <c r="C29" s="1" t="s">
        <v>116</v>
      </c>
      <c r="D29" s="1" t="s">
        <v>128</v>
      </c>
      <c r="E29" s="1" t="s">
        <v>128</v>
      </c>
      <c r="F29" s="1" t="s">
        <v>88</v>
      </c>
      <c r="G29" s="1" t="s">
        <v>136</v>
      </c>
      <c r="H29" s="1" t="s">
        <v>75</v>
      </c>
    </row>
    <row r="30" spans="1:8" x14ac:dyDescent="0.2">
      <c r="A30" s="1">
        <v>203023</v>
      </c>
      <c r="B30" s="1" t="s">
        <v>244</v>
      </c>
      <c r="C30" s="1" t="s">
        <v>116</v>
      </c>
      <c r="D30" s="1" t="s">
        <v>128</v>
      </c>
      <c r="E30" s="1" t="s">
        <v>128</v>
      </c>
      <c r="F30" s="1" t="s">
        <v>84</v>
      </c>
      <c r="G30" s="1" t="s">
        <v>136</v>
      </c>
      <c r="H30" s="1" t="s">
        <v>75</v>
      </c>
    </row>
    <row r="31" spans="1:8" x14ac:dyDescent="0.2">
      <c r="A31" s="1">
        <v>203023</v>
      </c>
      <c r="B31" s="1" t="s">
        <v>244</v>
      </c>
      <c r="C31" s="1" t="s">
        <v>116</v>
      </c>
      <c r="D31" s="1" t="s">
        <v>128</v>
      </c>
      <c r="E31" s="1" t="s">
        <v>128</v>
      </c>
      <c r="F31" s="1" t="s">
        <v>70</v>
      </c>
      <c r="G31" s="1" t="s">
        <v>136</v>
      </c>
      <c r="H31" s="1" t="s">
        <v>75</v>
      </c>
    </row>
    <row r="32" spans="1:8" x14ac:dyDescent="0.2">
      <c r="A32" s="1">
        <v>203023</v>
      </c>
      <c r="B32" s="1" t="s">
        <v>244</v>
      </c>
      <c r="C32" s="1" t="s">
        <v>116</v>
      </c>
      <c r="D32" s="1" t="s">
        <v>128</v>
      </c>
      <c r="E32" s="1" t="s">
        <v>128</v>
      </c>
      <c r="F32" s="1" t="s">
        <v>132</v>
      </c>
      <c r="G32" s="1" t="s">
        <v>136</v>
      </c>
      <c r="H32" s="1" t="s">
        <v>75</v>
      </c>
    </row>
    <row r="33" spans="1:8" x14ac:dyDescent="0.2">
      <c r="A33" s="1">
        <v>203023</v>
      </c>
      <c r="B33" s="1" t="s">
        <v>244</v>
      </c>
      <c r="C33" s="1" t="s">
        <v>116</v>
      </c>
      <c r="D33" s="1" t="s">
        <v>128</v>
      </c>
      <c r="E33" s="1" t="s">
        <v>128</v>
      </c>
      <c r="F33" s="1" t="s">
        <v>79</v>
      </c>
      <c r="G33" s="1" t="s">
        <v>136</v>
      </c>
      <c r="H33" s="1" t="s">
        <v>75</v>
      </c>
    </row>
    <row r="34" spans="1:8" x14ac:dyDescent="0.2">
      <c r="A34" s="1">
        <v>203023</v>
      </c>
      <c r="B34" s="1" t="s">
        <v>244</v>
      </c>
      <c r="C34" s="1" t="s">
        <v>116</v>
      </c>
      <c r="D34" s="1" t="s">
        <v>128</v>
      </c>
      <c r="E34" s="1" t="s">
        <v>128</v>
      </c>
      <c r="F34" s="1" t="s">
        <v>72</v>
      </c>
      <c r="G34" s="1" t="s">
        <v>136</v>
      </c>
      <c r="H34" s="1" t="s">
        <v>75</v>
      </c>
    </row>
    <row r="35" spans="1:8" x14ac:dyDescent="0.2">
      <c r="A35" s="1">
        <v>203023</v>
      </c>
      <c r="B35" s="1" t="s">
        <v>244</v>
      </c>
      <c r="C35" s="1" t="s">
        <v>116</v>
      </c>
      <c r="D35" s="1" t="s">
        <v>128</v>
      </c>
      <c r="E35" s="1" t="s">
        <v>128</v>
      </c>
      <c r="F35" s="1" t="s">
        <v>91</v>
      </c>
      <c r="G35" s="1" t="s">
        <v>136</v>
      </c>
      <c r="H35" s="1" t="s">
        <v>75</v>
      </c>
    </row>
    <row r="36" spans="1:8" x14ac:dyDescent="0.2">
      <c r="A36" s="1">
        <v>203023</v>
      </c>
      <c r="B36" s="1" t="s">
        <v>244</v>
      </c>
      <c r="C36" s="1" t="s">
        <v>116</v>
      </c>
      <c r="D36" s="1" t="s">
        <v>128</v>
      </c>
      <c r="E36" s="1" t="s">
        <v>128</v>
      </c>
      <c r="F36" s="1" t="s">
        <v>86</v>
      </c>
      <c r="G36" s="1" t="s">
        <v>136</v>
      </c>
      <c r="H36" s="1" t="s">
        <v>75</v>
      </c>
    </row>
    <row r="37" spans="1:8" x14ac:dyDescent="0.2">
      <c r="A37" s="1">
        <v>203023</v>
      </c>
      <c r="B37" s="1" t="s">
        <v>244</v>
      </c>
      <c r="C37" s="1" t="s">
        <v>76</v>
      </c>
      <c r="D37" s="1" t="s">
        <v>128</v>
      </c>
      <c r="E37" s="1" t="s">
        <v>128</v>
      </c>
      <c r="F37" s="1" t="s">
        <v>99</v>
      </c>
      <c r="G37" s="1" t="s">
        <v>137</v>
      </c>
      <c r="H37" s="1" t="s">
        <v>112</v>
      </c>
    </row>
    <row r="38" spans="1:8" x14ac:dyDescent="0.2">
      <c r="A38" s="1">
        <v>203023</v>
      </c>
      <c r="B38" s="1" t="s">
        <v>244</v>
      </c>
      <c r="C38" s="1" t="s">
        <v>76</v>
      </c>
      <c r="D38" s="1" t="s">
        <v>128</v>
      </c>
      <c r="E38" s="1" t="s">
        <v>128</v>
      </c>
      <c r="F38" s="1" t="s">
        <v>72</v>
      </c>
      <c r="G38" s="1" t="s">
        <v>138</v>
      </c>
      <c r="H38" s="1" t="s">
        <v>112</v>
      </c>
    </row>
    <row r="39" spans="1:8" x14ac:dyDescent="0.2">
      <c r="A39" s="1">
        <v>203023</v>
      </c>
      <c r="B39" s="1" t="s">
        <v>244</v>
      </c>
      <c r="C39" s="1" t="s">
        <v>76</v>
      </c>
      <c r="D39" s="1" t="s">
        <v>128</v>
      </c>
      <c r="E39" s="1" t="s">
        <v>128</v>
      </c>
      <c r="F39" s="1" t="s">
        <v>98</v>
      </c>
      <c r="G39" s="1" t="s">
        <v>139</v>
      </c>
      <c r="H39" s="1" t="s">
        <v>112</v>
      </c>
    </row>
    <row r="40" spans="1:8" x14ac:dyDescent="0.2">
      <c r="A40" s="1">
        <v>203023</v>
      </c>
      <c r="B40" s="1" t="s">
        <v>244</v>
      </c>
      <c r="C40" s="1" t="s">
        <v>95</v>
      </c>
      <c r="D40" s="1" t="s">
        <v>128</v>
      </c>
      <c r="E40" s="1" t="s">
        <v>128</v>
      </c>
      <c r="F40" s="1" t="s">
        <v>74</v>
      </c>
      <c r="G40" s="1" t="s">
        <v>140</v>
      </c>
      <c r="H40" s="1" t="s">
        <v>75</v>
      </c>
    </row>
    <row r="41" spans="1:8" x14ac:dyDescent="0.2">
      <c r="A41" s="1">
        <v>203023</v>
      </c>
      <c r="B41" s="1" t="s">
        <v>244</v>
      </c>
      <c r="C41" s="1" t="s">
        <v>95</v>
      </c>
      <c r="D41" s="1" t="s">
        <v>128</v>
      </c>
      <c r="E41" s="1" t="s">
        <v>128</v>
      </c>
      <c r="F41" s="1" t="s">
        <v>96</v>
      </c>
      <c r="G41" s="1" t="s">
        <v>141</v>
      </c>
      <c r="H41" s="1" t="s">
        <v>142</v>
      </c>
    </row>
    <row r="42" spans="1:8" x14ac:dyDescent="0.2">
      <c r="A42" s="1">
        <v>203023</v>
      </c>
      <c r="B42" s="1" t="s">
        <v>244</v>
      </c>
      <c r="C42" s="1" t="s">
        <v>95</v>
      </c>
      <c r="D42" s="1" t="s">
        <v>128</v>
      </c>
      <c r="E42" s="1" t="s">
        <v>128</v>
      </c>
      <c r="F42" s="1" t="s">
        <v>88</v>
      </c>
      <c r="G42" s="1" t="s">
        <v>143</v>
      </c>
      <c r="H42" s="1" t="s">
        <v>144</v>
      </c>
    </row>
    <row r="43" spans="1:8" x14ac:dyDescent="0.2">
      <c r="A43" s="1">
        <v>203023</v>
      </c>
      <c r="B43" s="1" t="s">
        <v>244</v>
      </c>
      <c r="C43" s="1" t="s">
        <v>95</v>
      </c>
      <c r="D43" s="1" t="s">
        <v>128</v>
      </c>
      <c r="E43" s="1" t="s">
        <v>128</v>
      </c>
      <c r="F43" s="1" t="s">
        <v>80</v>
      </c>
      <c r="G43" s="1" t="s">
        <v>145</v>
      </c>
      <c r="H43" s="1" t="s">
        <v>146</v>
      </c>
    </row>
    <row r="44" spans="1:8" x14ac:dyDescent="0.2">
      <c r="A44" s="1">
        <v>203023</v>
      </c>
      <c r="B44" s="1" t="s">
        <v>244</v>
      </c>
      <c r="C44" s="1" t="s">
        <v>95</v>
      </c>
      <c r="D44" s="1" t="s">
        <v>128</v>
      </c>
      <c r="E44" s="1" t="s">
        <v>128</v>
      </c>
      <c r="F44" s="1" t="s">
        <v>84</v>
      </c>
      <c r="G44" s="1" t="s">
        <v>147</v>
      </c>
    </row>
    <row r="45" spans="1:8" x14ac:dyDescent="0.2">
      <c r="A45" s="1">
        <v>203023</v>
      </c>
      <c r="B45" s="1" t="s">
        <v>244</v>
      </c>
      <c r="C45" s="1" t="s">
        <v>95</v>
      </c>
      <c r="D45" s="1" t="s">
        <v>128</v>
      </c>
      <c r="E45" s="1" t="s">
        <v>128</v>
      </c>
      <c r="F45" s="1" t="s">
        <v>70</v>
      </c>
      <c r="G45" s="1" t="s">
        <v>148</v>
      </c>
    </row>
    <row r="46" spans="1:8" x14ac:dyDescent="0.2">
      <c r="A46" s="1">
        <v>203023</v>
      </c>
      <c r="B46" s="1" t="s">
        <v>244</v>
      </c>
      <c r="C46" s="1" t="s">
        <v>95</v>
      </c>
      <c r="D46" s="1" t="s">
        <v>128</v>
      </c>
      <c r="E46" s="1" t="s">
        <v>128</v>
      </c>
      <c r="F46" s="1" t="s">
        <v>77</v>
      </c>
      <c r="G46" s="1" t="s">
        <v>149</v>
      </c>
    </row>
    <row r="47" spans="1:8" x14ac:dyDescent="0.2">
      <c r="A47" s="1">
        <v>203023</v>
      </c>
      <c r="B47" s="1" t="s">
        <v>244</v>
      </c>
      <c r="C47" s="1" t="s">
        <v>95</v>
      </c>
      <c r="D47" s="1" t="s">
        <v>128</v>
      </c>
      <c r="E47" s="1" t="s">
        <v>128</v>
      </c>
      <c r="F47" s="1" t="s">
        <v>132</v>
      </c>
      <c r="G47" s="1" t="s">
        <v>150</v>
      </c>
      <c r="H47" s="1" t="s">
        <v>151</v>
      </c>
    </row>
    <row r="48" spans="1:8" x14ac:dyDescent="0.2">
      <c r="A48" s="1">
        <v>203023</v>
      </c>
      <c r="B48" s="1" t="s">
        <v>244</v>
      </c>
      <c r="C48" s="1" t="s">
        <v>95</v>
      </c>
      <c r="D48" s="1" t="s">
        <v>128</v>
      </c>
      <c r="E48" s="1" t="s">
        <v>128</v>
      </c>
      <c r="F48" s="1" t="s">
        <v>69</v>
      </c>
      <c r="G48" s="1" t="s">
        <v>152</v>
      </c>
      <c r="H48" s="1" t="s">
        <v>153</v>
      </c>
    </row>
    <row r="49" spans="1:8" x14ac:dyDescent="0.2">
      <c r="A49" s="1">
        <v>203023</v>
      </c>
      <c r="B49" s="1" t="s">
        <v>244</v>
      </c>
      <c r="C49" s="1" t="s">
        <v>95</v>
      </c>
      <c r="D49" s="1" t="s">
        <v>128</v>
      </c>
      <c r="E49" s="1" t="s">
        <v>128</v>
      </c>
      <c r="F49" s="1" t="s">
        <v>81</v>
      </c>
      <c r="G49" s="1" t="s">
        <v>154</v>
      </c>
      <c r="H49" s="1" t="s">
        <v>155</v>
      </c>
    </row>
    <row r="50" spans="1:8" x14ac:dyDescent="0.2">
      <c r="A50" s="1">
        <v>203023</v>
      </c>
      <c r="B50" s="1" t="s">
        <v>244</v>
      </c>
      <c r="C50" s="1" t="s">
        <v>95</v>
      </c>
      <c r="D50" s="1" t="s">
        <v>128</v>
      </c>
      <c r="E50" s="1" t="s">
        <v>128</v>
      </c>
      <c r="F50" s="1" t="s">
        <v>97</v>
      </c>
      <c r="G50" s="1" t="s">
        <v>156</v>
      </c>
      <c r="H50" s="1" t="s">
        <v>157</v>
      </c>
    </row>
    <row r="51" spans="1:8" x14ac:dyDescent="0.2">
      <c r="A51" s="1">
        <v>203023</v>
      </c>
      <c r="B51" s="1" t="s">
        <v>244</v>
      </c>
      <c r="C51" s="1" t="s">
        <v>95</v>
      </c>
      <c r="D51" s="1" t="s">
        <v>128</v>
      </c>
      <c r="E51" s="1" t="s">
        <v>128</v>
      </c>
      <c r="F51" s="1" t="s">
        <v>79</v>
      </c>
      <c r="G51" s="1" t="s">
        <v>158</v>
      </c>
      <c r="H51" s="1" t="s">
        <v>159</v>
      </c>
    </row>
    <row r="52" spans="1:8" x14ac:dyDescent="0.2">
      <c r="A52" s="1">
        <v>203023</v>
      </c>
      <c r="B52" s="1" t="s">
        <v>244</v>
      </c>
      <c r="C52" s="1" t="s">
        <v>95</v>
      </c>
      <c r="D52" s="1" t="s">
        <v>128</v>
      </c>
      <c r="E52" s="1" t="s">
        <v>128</v>
      </c>
      <c r="F52" s="1" t="s">
        <v>72</v>
      </c>
      <c r="G52" s="1" t="s">
        <v>160</v>
      </c>
      <c r="H52" s="1" t="s">
        <v>155</v>
      </c>
    </row>
    <row r="53" spans="1:8" x14ac:dyDescent="0.2">
      <c r="A53" s="1">
        <v>203023</v>
      </c>
      <c r="B53" s="1" t="s">
        <v>244</v>
      </c>
      <c r="C53" s="1" t="s">
        <v>95</v>
      </c>
      <c r="D53" s="1" t="s">
        <v>128</v>
      </c>
      <c r="E53" s="1" t="s">
        <v>128</v>
      </c>
      <c r="F53" s="1" t="s">
        <v>89</v>
      </c>
      <c r="G53" s="1" t="s">
        <v>161</v>
      </c>
      <c r="H53" s="1" t="s">
        <v>162</v>
      </c>
    </row>
    <row r="54" spans="1:8" x14ac:dyDescent="0.2">
      <c r="A54" s="1">
        <v>203023</v>
      </c>
      <c r="B54" s="1" t="s">
        <v>244</v>
      </c>
      <c r="C54" s="1" t="s">
        <v>95</v>
      </c>
      <c r="D54" s="1" t="s">
        <v>128</v>
      </c>
      <c r="E54" s="1" t="s">
        <v>128</v>
      </c>
      <c r="F54" s="1" t="s">
        <v>86</v>
      </c>
      <c r="G54" s="1" t="s">
        <v>163</v>
      </c>
      <c r="H54" s="1" t="s">
        <v>164</v>
      </c>
    </row>
    <row r="55" spans="1:8" x14ac:dyDescent="0.2">
      <c r="A55" s="1">
        <v>203023</v>
      </c>
      <c r="B55" s="1" t="s">
        <v>244</v>
      </c>
      <c r="C55" s="1" t="s">
        <v>95</v>
      </c>
      <c r="D55" s="1" t="s">
        <v>128</v>
      </c>
      <c r="E55" s="1" t="s">
        <v>128</v>
      </c>
      <c r="F55" s="1" t="s">
        <v>99</v>
      </c>
      <c r="G55" s="1" t="s">
        <v>165</v>
      </c>
    </row>
    <row r="56" spans="1:8" x14ac:dyDescent="0.2">
      <c r="A56" s="1">
        <v>203023</v>
      </c>
      <c r="B56" s="1" t="s">
        <v>244</v>
      </c>
      <c r="C56" s="1" t="s">
        <v>95</v>
      </c>
      <c r="D56" s="1" t="s">
        <v>128</v>
      </c>
      <c r="E56" s="1" t="s">
        <v>128</v>
      </c>
      <c r="F56" s="1" t="s">
        <v>71</v>
      </c>
      <c r="G56" s="1" t="s">
        <v>166</v>
      </c>
      <c r="H56" s="1" t="s">
        <v>167</v>
      </c>
    </row>
    <row r="57" spans="1:8" x14ac:dyDescent="0.2">
      <c r="A57" s="1">
        <v>203023</v>
      </c>
      <c r="B57" s="1" t="s">
        <v>244</v>
      </c>
      <c r="C57" s="1" t="s">
        <v>103</v>
      </c>
      <c r="D57" s="1" t="s">
        <v>128</v>
      </c>
      <c r="E57" s="1" t="s">
        <v>128</v>
      </c>
      <c r="F57" s="1" t="s">
        <v>132</v>
      </c>
      <c r="G57" s="1" t="s">
        <v>168</v>
      </c>
      <c r="H57" s="1" t="s">
        <v>168</v>
      </c>
    </row>
    <row r="58" spans="1:8" x14ac:dyDescent="0.2">
      <c r="A58" s="1">
        <v>203023</v>
      </c>
      <c r="B58" s="1" t="s">
        <v>244</v>
      </c>
      <c r="C58" s="1" t="s">
        <v>103</v>
      </c>
      <c r="D58" s="1" t="s">
        <v>128</v>
      </c>
      <c r="E58" s="1" t="s">
        <v>128</v>
      </c>
      <c r="F58" s="1" t="s">
        <v>84</v>
      </c>
      <c r="G58" s="1" t="s">
        <v>169</v>
      </c>
      <c r="H58" s="1" t="s">
        <v>169</v>
      </c>
    </row>
    <row r="59" spans="1:8" x14ac:dyDescent="0.2">
      <c r="A59" s="1">
        <v>203023</v>
      </c>
      <c r="B59" s="1" t="s">
        <v>244</v>
      </c>
      <c r="C59" s="1" t="s">
        <v>103</v>
      </c>
      <c r="D59" s="1" t="s">
        <v>128</v>
      </c>
      <c r="E59" s="1" t="s">
        <v>128</v>
      </c>
      <c r="F59" s="1" t="s">
        <v>77</v>
      </c>
      <c r="G59" s="1" t="s">
        <v>170</v>
      </c>
      <c r="H59" s="1" t="s">
        <v>170</v>
      </c>
    </row>
    <row r="60" spans="1:8" x14ac:dyDescent="0.2">
      <c r="A60" s="1">
        <v>203023</v>
      </c>
      <c r="B60" s="1" t="s">
        <v>244</v>
      </c>
      <c r="C60" s="1" t="s">
        <v>103</v>
      </c>
      <c r="D60" s="1" t="s">
        <v>128</v>
      </c>
      <c r="E60" s="1" t="s">
        <v>128</v>
      </c>
      <c r="F60" s="1" t="s">
        <v>132</v>
      </c>
      <c r="G60" s="1" t="s">
        <v>171</v>
      </c>
      <c r="H60" s="1" t="s">
        <v>171</v>
      </c>
    </row>
    <row r="61" spans="1:8" x14ac:dyDescent="0.2">
      <c r="A61" s="1">
        <v>203023</v>
      </c>
      <c r="B61" s="1" t="s">
        <v>244</v>
      </c>
      <c r="C61" s="1" t="s">
        <v>93</v>
      </c>
      <c r="D61" s="1" t="s">
        <v>128</v>
      </c>
      <c r="E61" s="1" t="s">
        <v>128</v>
      </c>
      <c r="F61" s="1" t="s">
        <v>74</v>
      </c>
      <c r="G61" s="1" t="s">
        <v>94</v>
      </c>
      <c r="H61" s="1" t="s">
        <v>94</v>
      </c>
    </row>
    <row r="62" spans="1:8" x14ac:dyDescent="0.2">
      <c r="A62" s="1">
        <v>203023</v>
      </c>
      <c r="B62" s="1" t="s">
        <v>244</v>
      </c>
      <c r="C62" s="1" t="s">
        <v>95</v>
      </c>
      <c r="D62" s="1" t="s">
        <v>128</v>
      </c>
      <c r="E62" s="1" t="s">
        <v>128</v>
      </c>
      <c r="F62" s="1" t="s">
        <v>74</v>
      </c>
      <c r="G62" s="1" t="s">
        <v>75</v>
      </c>
      <c r="H62" s="1" t="s">
        <v>75</v>
      </c>
    </row>
    <row r="63" spans="1:8" x14ac:dyDescent="0.2">
      <c r="A63" s="1">
        <v>203023</v>
      </c>
      <c r="B63" s="1" t="s">
        <v>244</v>
      </c>
      <c r="C63" s="1" t="s">
        <v>95</v>
      </c>
      <c r="D63" s="1" t="s">
        <v>128</v>
      </c>
      <c r="E63" s="1" t="s">
        <v>128</v>
      </c>
      <c r="F63" s="1" t="s">
        <v>96</v>
      </c>
      <c r="G63" s="1" t="s">
        <v>172</v>
      </c>
      <c r="H63" s="1" t="s">
        <v>173</v>
      </c>
    </row>
    <row r="64" spans="1:8" x14ac:dyDescent="0.2">
      <c r="A64" s="1">
        <v>203023</v>
      </c>
      <c r="B64" s="1" t="s">
        <v>244</v>
      </c>
      <c r="C64" s="1" t="s">
        <v>95</v>
      </c>
      <c r="D64" s="1" t="s">
        <v>128</v>
      </c>
      <c r="E64" s="1" t="s">
        <v>128</v>
      </c>
      <c r="F64" s="1" t="s">
        <v>88</v>
      </c>
      <c r="G64" s="1" t="s">
        <v>174</v>
      </c>
      <c r="H64" s="1" t="s">
        <v>175</v>
      </c>
    </row>
    <row r="65" spans="1:8" x14ac:dyDescent="0.2">
      <c r="A65" s="1">
        <v>203023</v>
      </c>
      <c r="B65" s="1" t="s">
        <v>244</v>
      </c>
      <c r="C65" s="1" t="s">
        <v>95</v>
      </c>
      <c r="D65" s="1" t="s">
        <v>128</v>
      </c>
      <c r="E65" s="1" t="s">
        <v>128</v>
      </c>
      <c r="F65" s="1" t="s">
        <v>80</v>
      </c>
      <c r="G65" s="1" t="s">
        <v>176</v>
      </c>
      <c r="H65" s="1" t="s">
        <v>177</v>
      </c>
    </row>
    <row r="66" spans="1:8" x14ac:dyDescent="0.2">
      <c r="A66" s="1">
        <v>203023</v>
      </c>
      <c r="B66" s="1" t="s">
        <v>244</v>
      </c>
      <c r="C66" s="1" t="s">
        <v>95</v>
      </c>
      <c r="D66" s="1" t="s">
        <v>128</v>
      </c>
      <c r="E66" s="1" t="s">
        <v>128</v>
      </c>
      <c r="F66" s="1" t="s">
        <v>79</v>
      </c>
      <c r="G66" s="1" t="s">
        <v>178</v>
      </c>
    </row>
    <row r="67" spans="1:8" x14ac:dyDescent="0.2">
      <c r="A67" s="1">
        <v>203023</v>
      </c>
      <c r="B67" s="1" t="s">
        <v>244</v>
      </c>
      <c r="C67" s="1" t="s">
        <v>100</v>
      </c>
      <c r="D67" s="1" t="s">
        <v>128</v>
      </c>
      <c r="E67" s="1" t="s">
        <v>128</v>
      </c>
      <c r="F67" s="1" t="s">
        <v>80</v>
      </c>
      <c r="G67" s="1" t="s">
        <v>179</v>
      </c>
      <c r="H67" s="1" t="s">
        <v>180</v>
      </c>
    </row>
    <row r="68" spans="1:8" x14ac:dyDescent="0.2">
      <c r="A68" s="1">
        <v>203023</v>
      </c>
      <c r="B68" s="1" t="s">
        <v>244</v>
      </c>
      <c r="C68" s="1" t="s">
        <v>100</v>
      </c>
      <c r="D68" s="1" t="s">
        <v>128</v>
      </c>
      <c r="E68" s="1" t="s">
        <v>128</v>
      </c>
      <c r="F68" s="1" t="s">
        <v>79</v>
      </c>
      <c r="G68" s="1" t="s">
        <v>179</v>
      </c>
      <c r="H68" s="1" t="s">
        <v>181</v>
      </c>
    </row>
    <row r="69" spans="1:8" x14ac:dyDescent="0.2">
      <c r="A69" s="1">
        <v>203023</v>
      </c>
      <c r="B69" s="1" t="s">
        <v>244</v>
      </c>
      <c r="C69" s="1" t="s">
        <v>100</v>
      </c>
      <c r="D69" s="1" t="s">
        <v>128</v>
      </c>
      <c r="E69" s="1" t="s">
        <v>128</v>
      </c>
      <c r="F69" s="1" t="s">
        <v>82</v>
      </c>
      <c r="G69" s="1" t="s">
        <v>182</v>
      </c>
      <c r="H69" s="1" t="s">
        <v>183</v>
      </c>
    </row>
    <row r="70" spans="1:8" x14ac:dyDescent="0.2">
      <c r="A70" s="1">
        <v>203023</v>
      </c>
      <c r="B70" s="1" t="s">
        <v>244</v>
      </c>
      <c r="C70" s="1" t="s">
        <v>100</v>
      </c>
      <c r="D70" s="1" t="s">
        <v>128</v>
      </c>
      <c r="E70" s="1" t="s">
        <v>128</v>
      </c>
      <c r="F70" s="1" t="s">
        <v>70</v>
      </c>
      <c r="G70" s="1" t="s">
        <v>184</v>
      </c>
      <c r="H70" s="1" t="s">
        <v>185</v>
      </c>
    </row>
    <row r="71" spans="1:8" x14ac:dyDescent="0.2">
      <c r="A71" s="1">
        <v>203023</v>
      </c>
      <c r="B71" s="1" t="s">
        <v>244</v>
      </c>
      <c r="C71" s="1" t="s">
        <v>78</v>
      </c>
      <c r="D71" s="1" t="s">
        <v>128</v>
      </c>
      <c r="E71" s="1" t="s">
        <v>128</v>
      </c>
      <c r="F71" s="1" t="s">
        <v>89</v>
      </c>
      <c r="G71" s="1" t="s">
        <v>186</v>
      </c>
      <c r="H71" s="1" t="s">
        <v>83</v>
      </c>
    </row>
    <row r="72" spans="1:8" x14ac:dyDescent="0.2">
      <c r="A72" s="1">
        <v>203023</v>
      </c>
      <c r="B72" s="1" t="s">
        <v>244</v>
      </c>
      <c r="C72" s="1" t="s">
        <v>78</v>
      </c>
      <c r="D72" s="1" t="s">
        <v>128</v>
      </c>
      <c r="E72" s="1" t="s">
        <v>128</v>
      </c>
      <c r="F72" s="1" t="s">
        <v>77</v>
      </c>
      <c r="G72" s="1" t="s">
        <v>187</v>
      </c>
      <c r="H72" s="1" t="s">
        <v>83</v>
      </c>
    </row>
    <row r="73" spans="1:8" x14ac:dyDescent="0.2">
      <c r="A73" s="1">
        <v>203023</v>
      </c>
      <c r="B73" s="1" t="s">
        <v>244</v>
      </c>
      <c r="C73" s="1" t="s">
        <v>78</v>
      </c>
      <c r="D73" s="1" t="s">
        <v>128</v>
      </c>
      <c r="E73" s="1" t="s">
        <v>128</v>
      </c>
      <c r="F73" s="1" t="s">
        <v>89</v>
      </c>
      <c r="G73" s="1" t="s">
        <v>188</v>
      </c>
      <c r="H73" s="1" t="s">
        <v>83</v>
      </c>
    </row>
    <row r="74" spans="1:8" x14ac:dyDescent="0.2">
      <c r="A74" s="1">
        <v>203023</v>
      </c>
      <c r="B74" s="1" t="s">
        <v>244</v>
      </c>
      <c r="C74" s="1" t="s">
        <v>78</v>
      </c>
      <c r="D74" s="1" t="s">
        <v>128</v>
      </c>
      <c r="E74" s="1" t="s">
        <v>128</v>
      </c>
      <c r="F74" s="1" t="s">
        <v>81</v>
      </c>
      <c r="G74" s="1" t="s">
        <v>189</v>
      </c>
      <c r="H74" s="1" t="s">
        <v>83</v>
      </c>
    </row>
    <row r="75" spans="1:8" x14ac:dyDescent="0.2">
      <c r="A75" s="1">
        <v>203023</v>
      </c>
      <c r="B75" s="1" t="s">
        <v>244</v>
      </c>
      <c r="C75" s="1" t="s">
        <v>78</v>
      </c>
      <c r="D75" s="1" t="s">
        <v>128</v>
      </c>
      <c r="E75" s="1" t="s">
        <v>128</v>
      </c>
      <c r="F75" s="1" t="s">
        <v>96</v>
      </c>
      <c r="G75" s="1" t="s">
        <v>190</v>
      </c>
      <c r="H75" s="1" t="s">
        <v>83</v>
      </c>
    </row>
    <row r="76" spans="1:8" x14ac:dyDescent="0.2">
      <c r="A76" s="1">
        <v>203023</v>
      </c>
      <c r="B76" s="1" t="s">
        <v>244</v>
      </c>
      <c r="C76" s="1" t="s">
        <v>78</v>
      </c>
      <c r="D76" s="1" t="s">
        <v>128</v>
      </c>
      <c r="E76" s="1" t="s">
        <v>128</v>
      </c>
      <c r="F76" s="1" t="s">
        <v>79</v>
      </c>
      <c r="G76" s="1" t="s">
        <v>191</v>
      </c>
      <c r="H76" s="1" t="s">
        <v>83</v>
      </c>
    </row>
    <row r="77" spans="1:8" x14ac:dyDescent="0.2">
      <c r="A77" s="1">
        <v>203023</v>
      </c>
      <c r="B77" s="1" t="s">
        <v>244</v>
      </c>
      <c r="C77" s="1" t="s">
        <v>78</v>
      </c>
      <c r="D77" s="1" t="s">
        <v>128</v>
      </c>
      <c r="E77" s="1" t="s">
        <v>128</v>
      </c>
      <c r="F77" s="1" t="s">
        <v>89</v>
      </c>
      <c r="G77" s="1" t="s">
        <v>192</v>
      </c>
    </row>
    <row r="78" spans="1:8" x14ac:dyDescent="0.2">
      <c r="A78" s="1">
        <v>203023</v>
      </c>
      <c r="B78" s="1" t="s">
        <v>244</v>
      </c>
      <c r="C78" s="1" t="s">
        <v>78</v>
      </c>
      <c r="D78" s="1" t="s">
        <v>128</v>
      </c>
      <c r="E78" s="1" t="s">
        <v>128</v>
      </c>
      <c r="F78" s="1" t="s">
        <v>72</v>
      </c>
      <c r="G78" s="1" t="s">
        <v>193</v>
      </c>
      <c r="H78" s="1" t="s">
        <v>83</v>
      </c>
    </row>
    <row r="79" spans="1:8" x14ac:dyDescent="0.2">
      <c r="A79" s="1">
        <v>203023</v>
      </c>
      <c r="B79" s="1" t="s">
        <v>244</v>
      </c>
      <c r="C79" s="1" t="s">
        <v>114</v>
      </c>
      <c r="D79" s="1" t="s">
        <v>128</v>
      </c>
      <c r="E79" s="1" t="s">
        <v>128</v>
      </c>
      <c r="F79" s="1" t="s">
        <v>88</v>
      </c>
      <c r="G79" s="1" t="s">
        <v>194</v>
      </c>
      <c r="H79" s="1" t="s">
        <v>115</v>
      </c>
    </row>
    <row r="80" spans="1:8" x14ac:dyDescent="0.2">
      <c r="A80" s="1">
        <v>203023</v>
      </c>
      <c r="B80" s="1" t="s">
        <v>244</v>
      </c>
      <c r="C80" s="1" t="s">
        <v>114</v>
      </c>
      <c r="D80" s="1" t="s">
        <v>128</v>
      </c>
      <c r="E80" s="1" t="s">
        <v>128</v>
      </c>
      <c r="F80" s="1" t="s">
        <v>132</v>
      </c>
      <c r="G80" s="1" t="s">
        <v>195</v>
      </c>
      <c r="H80" s="1" t="s">
        <v>115</v>
      </c>
    </row>
    <row r="81" spans="1:8" x14ac:dyDescent="0.2">
      <c r="A81" s="1">
        <v>203023</v>
      </c>
      <c r="B81" s="1" t="s">
        <v>244</v>
      </c>
      <c r="C81" s="1" t="s">
        <v>114</v>
      </c>
      <c r="D81" s="1" t="s">
        <v>128</v>
      </c>
      <c r="E81" s="1" t="s">
        <v>128</v>
      </c>
      <c r="F81" s="1" t="s">
        <v>90</v>
      </c>
      <c r="G81" s="1" t="s">
        <v>196</v>
      </c>
    </row>
    <row r="82" spans="1:8" x14ac:dyDescent="0.2">
      <c r="A82" s="1">
        <v>203023</v>
      </c>
      <c r="B82" s="1" t="s">
        <v>244</v>
      </c>
      <c r="C82" s="1" t="s">
        <v>111</v>
      </c>
      <c r="D82" s="1" t="s">
        <v>128</v>
      </c>
      <c r="E82" s="1" t="s">
        <v>128</v>
      </c>
      <c r="F82" s="1" t="s">
        <v>69</v>
      </c>
      <c r="G82" s="1" t="s">
        <v>197</v>
      </c>
      <c r="H82" s="1" t="s">
        <v>112</v>
      </c>
    </row>
    <row r="83" spans="1:8" x14ac:dyDescent="0.2">
      <c r="A83" s="1">
        <v>203023</v>
      </c>
      <c r="B83" s="1" t="s">
        <v>244</v>
      </c>
      <c r="C83" s="1" t="s">
        <v>104</v>
      </c>
      <c r="D83" s="1" t="s">
        <v>128</v>
      </c>
      <c r="E83" s="1" t="s">
        <v>128</v>
      </c>
      <c r="F83" s="1" t="s">
        <v>70</v>
      </c>
      <c r="G83" s="1" t="s">
        <v>198</v>
      </c>
      <c r="H83" s="1" t="s">
        <v>199</v>
      </c>
    </row>
    <row r="84" spans="1:8" x14ac:dyDescent="0.2">
      <c r="A84" s="1">
        <v>203023</v>
      </c>
      <c r="B84" s="1" t="s">
        <v>244</v>
      </c>
      <c r="C84" s="1" t="s">
        <v>104</v>
      </c>
      <c r="D84" s="1" t="s">
        <v>128</v>
      </c>
      <c r="E84" s="1" t="s">
        <v>128</v>
      </c>
      <c r="F84" s="1" t="s">
        <v>88</v>
      </c>
      <c r="G84" s="1" t="s">
        <v>200</v>
      </c>
      <c r="H84" s="1" t="s">
        <v>201</v>
      </c>
    </row>
    <row r="85" spans="1:8" x14ac:dyDescent="0.2">
      <c r="A85" s="1">
        <v>203023</v>
      </c>
      <c r="B85" s="1" t="s">
        <v>244</v>
      </c>
      <c r="C85" s="1" t="s">
        <v>68</v>
      </c>
      <c r="D85" s="1" t="s">
        <v>128</v>
      </c>
      <c r="E85" s="1" t="s">
        <v>128</v>
      </c>
      <c r="F85" s="1" t="s">
        <v>91</v>
      </c>
      <c r="G85" s="1" t="s">
        <v>202</v>
      </c>
      <c r="H85" s="1" t="s">
        <v>203</v>
      </c>
    </row>
    <row r="86" spans="1:8" x14ac:dyDescent="0.2">
      <c r="A86" s="1">
        <v>203023</v>
      </c>
      <c r="B86" s="1" t="s">
        <v>244</v>
      </c>
      <c r="C86" s="1" t="s">
        <v>68</v>
      </c>
      <c r="D86" s="1" t="s">
        <v>128</v>
      </c>
      <c r="E86" s="1" t="s">
        <v>128</v>
      </c>
      <c r="F86" s="1" t="s">
        <v>99</v>
      </c>
      <c r="G86" s="1" t="s">
        <v>204</v>
      </c>
      <c r="H86" s="1" t="s">
        <v>205</v>
      </c>
    </row>
    <row r="87" spans="1:8" x14ac:dyDescent="0.2">
      <c r="A87" s="1">
        <v>203023</v>
      </c>
      <c r="B87" s="1" t="s">
        <v>244</v>
      </c>
      <c r="C87" s="1" t="s">
        <v>68</v>
      </c>
      <c r="D87" s="1" t="s">
        <v>128</v>
      </c>
      <c r="E87" s="1" t="s">
        <v>128</v>
      </c>
      <c r="F87" s="1" t="s">
        <v>69</v>
      </c>
      <c r="G87" s="1" t="s">
        <v>206</v>
      </c>
    </row>
    <row r="88" spans="1:8" x14ac:dyDescent="0.2">
      <c r="A88" s="1">
        <v>203023</v>
      </c>
      <c r="B88" s="1" t="s">
        <v>244</v>
      </c>
      <c r="C88" s="1" t="s">
        <v>68</v>
      </c>
      <c r="D88" s="1" t="s">
        <v>128</v>
      </c>
      <c r="E88" s="1" t="s">
        <v>128</v>
      </c>
      <c r="F88" s="1" t="s">
        <v>91</v>
      </c>
      <c r="G88" s="1" t="s">
        <v>202</v>
      </c>
      <c r="H88" s="1" t="s">
        <v>203</v>
      </c>
    </row>
    <row r="89" spans="1:8" x14ac:dyDescent="0.2">
      <c r="A89" s="1">
        <v>203023</v>
      </c>
      <c r="B89" s="1" t="s">
        <v>244</v>
      </c>
      <c r="C89" s="1" t="s">
        <v>68</v>
      </c>
      <c r="D89" s="1" t="s">
        <v>128</v>
      </c>
      <c r="E89" s="1" t="s">
        <v>128</v>
      </c>
      <c r="F89" s="1" t="s">
        <v>99</v>
      </c>
      <c r="G89" s="1" t="s">
        <v>204</v>
      </c>
      <c r="H89" s="1" t="s">
        <v>205</v>
      </c>
    </row>
    <row r="90" spans="1:8" x14ac:dyDescent="0.2">
      <c r="A90" s="1">
        <v>203023</v>
      </c>
      <c r="B90" s="1" t="s">
        <v>244</v>
      </c>
      <c r="C90" s="1" t="s">
        <v>68</v>
      </c>
      <c r="D90" s="1" t="s">
        <v>128</v>
      </c>
      <c r="E90" s="1" t="s">
        <v>128</v>
      </c>
      <c r="F90" s="1" t="s">
        <v>69</v>
      </c>
      <c r="G90" s="1" t="s">
        <v>206</v>
      </c>
    </row>
    <row r="91" spans="1:8" x14ac:dyDescent="0.2">
      <c r="A91" s="1">
        <v>203023</v>
      </c>
      <c r="B91" s="1" t="s">
        <v>244</v>
      </c>
      <c r="C91" s="1" t="s">
        <v>101</v>
      </c>
      <c r="D91" s="1" t="s">
        <v>128</v>
      </c>
      <c r="E91" s="1" t="s">
        <v>128</v>
      </c>
      <c r="F91" s="1" t="s">
        <v>69</v>
      </c>
      <c r="G91" s="1" t="s">
        <v>207</v>
      </c>
      <c r="H91" s="1" t="s">
        <v>208</v>
      </c>
    </row>
    <row r="92" spans="1:8" x14ac:dyDescent="0.2">
      <c r="A92" s="1">
        <v>203023</v>
      </c>
      <c r="B92" s="1" t="s">
        <v>244</v>
      </c>
      <c r="C92" s="1" t="s">
        <v>73</v>
      </c>
      <c r="D92" s="1" t="s">
        <v>128</v>
      </c>
      <c r="E92" s="1" t="s">
        <v>128</v>
      </c>
      <c r="F92" s="1" t="s">
        <v>74</v>
      </c>
      <c r="G92" s="1" t="s">
        <v>75</v>
      </c>
      <c r="H92" s="1" t="s">
        <v>75</v>
      </c>
    </row>
    <row r="93" spans="1:8" x14ac:dyDescent="0.2">
      <c r="A93" s="1">
        <v>203023</v>
      </c>
      <c r="B93" s="1" t="s">
        <v>244</v>
      </c>
      <c r="C93" s="1" t="s">
        <v>73</v>
      </c>
      <c r="D93" s="1" t="s">
        <v>128</v>
      </c>
      <c r="E93" s="1" t="s">
        <v>128</v>
      </c>
      <c r="F93" s="1" t="s">
        <v>74</v>
      </c>
      <c r="G93" s="1" t="s">
        <v>75</v>
      </c>
      <c r="H93" s="1" t="s">
        <v>75</v>
      </c>
    </row>
    <row r="94" spans="1:8" x14ac:dyDescent="0.2">
      <c r="A94" s="1">
        <v>203023</v>
      </c>
      <c r="B94" s="1" t="s">
        <v>244</v>
      </c>
      <c r="C94" s="1" t="s">
        <v>106</v>
      </c>
      <c r="D94" s="1" t="s">
        <v>128</v>
      </c>
      <c r="E94" s="1" t="s">
        <v>128</v>
      </c>
      <c r="F94" s="1" t="s">
        <v>79</v>
      </c>
      <c r="G94" s="1" t="s">
        <v>209</v>
      </c>
      <c r="H94" s="1" t="s">
        <v>210</v>
      </c>
    </row>
    <row r="95" spans="1:8" x14ac:dyDescent="0.2">
      <c r="A95" s="1">
        <v>203023</v>
      </c>
      <c r="B95" s="1" t="s">
        <v>244</v>
      </c>
      <c r="C95" s="1" t="s">
        <v>102</v>
      </c>
      <c r="D95" s="1" t="s">
        <v>128</v>
      </c>
      <c r="E95" s="1" t="s">
        <v>128</v>
      </c>
      <c r="F95" s="1" t="s">
        <v>74</v>
      </c>
      <c r="G95" s="1" t="s">
        <v>211</v>
      </c>
      <c r="H95" s="1" t="s">
        <v>211</v>
      </c>
    </row>
    <row r="96" spans="1:8" x14ac:dyDescent="0.2">
      <c r="A96" s="1">
        <v>203023</v>
      </c>
      <c r="B96" s="1" t="s">
        <v>244</v>
      </c>
      <c r="C96" s="1" t="s">
        <v>92</v>
      </c>
      <c r="D96" s="1" t="s">
        <v>128</v>
      </c>
      <c r="E96" s="1" t="s">
        <v>128</v>
      </c>
      <c r="F96" s="1" t="s">
        <v>96</v>
      </c>
      <c r="G96" s="1" t="s">
        <v>75</v>
      </c>
      <c r="H96" s="1" t="s">
        <v>75</v>
      </c>
    </row>
    <row r="97" spans="1:8" x14ac:dyDescent="0.2">
      <c r="A97" s="1">
        <v>203023</v>
      </c>
      <c r="B97" s="1" t="s">
        <v>244</v>
      </c>
      <c r="C97" s="1" t="s">
        <v>105</v>
      </c>
      <c r="D97" s="1" t="s">
        <v>128</v>
      </c>
      <c r="E97" s="1" t="s">
        <v>128</v>
      </c>
      <c r="F97" s="1" t="s">
        <v>96</v>
      </c>
      <c r="G97" s="1" t="s">
        <v>212</v>
      </c>
      <c r="H97" s="1" t="s">
        <v>213</v>
      </c>
    </row>
    <row r="98" spans="1:8" x14ac:dyDescent="0.2">
      <c r="A98" s="1">
        <v>203023</v>
      </c>
      <c r="B98" s="1" t="s">
        <v>244</v>
      </c>
      <c r="C98" s="1" t="s">
        <v>105</v>
      </c>
      <c r="D98" s="1" t="s">
        <v>128</v>
      </c>
      <c r="E98" s="1" t="s">
        <v>128</v>
      </c>
      <c r="F98" s="1" t="s">
        <v>88</v>
      </c>
      <c r="G98" s="1" t="s">
        <v>214</v>
      </c>
      <c r="H98" s="1" t="s">
        <v>215</v>
      </c>
    </row>
    <row r="99" spans="1:8" x14ac:dyDescent="0.2">
      <c r="A99" s="1">
        <v>203023</v>
      </c>
      <c r="B99" s="1" t="s">
        <v>244</v>
      </c>
      <c r="C99" s="1" t="s">
        <v>109</v>
      </c>
      <c r="D99" s="1" t="s">
        <v>128</v>
      </c>
      <c r="E99" s="1" t="s">
        <v>128</v>
      </c>
      <c r="F99" s="1" t="s">
        <v>79</v>
      </c>
      <c r="G99" s="1" t="s">
        <v>216</v>
      </c>
      <c r="H99" s="1" t="s">
        <v>217</v>
      </c>
    </row>
    <row r="100" spans="1:8" x14ac:dyDescent="0.2">
      <c r="A100" s="1">
        <v>203023</v>
      </c>
      <c r="B100" s="1" t="s">
        <v>244</v>
      </c>
      <c r="C100" s="1" t="s">
        <v>109</v>
      </c>
      <c r="D100" s="1" t="s">
        <v>128</v>
      </c>
      <c r="E100" s="1" t="s">
        <v>128</v>
      </c>
      <c r="F100" s="1" t="s">
        <v>70</v>
      </c>
      <c r="G100" s="1" t="s">
        <v>218</v>
      </c>
      <c r="H100" s="1" t="s">
        <v>219</v>
      </c>
    </row>
    <row r="101" spans="1:8" x14ac:dyDescent="0.2">
      <c r="A101" s="1">
        <v>203023</v>
      </c>
      <c r="B101" s="1" t="s">
        <v>244</v>
      </c>
      <c r="C101" s="1" t="s">
        <v>108</v>
      </c>
      <c r="D101" s="1" t="s">
        <v>128</v>
      </c>
      <c r="E101" s="1" t="s">
        <v>128</v>
      </c>
      <c r="F101" s="1" t="s">
        <v>86</v>
      </c>
      <c r="G101" s="1" t="s">
        <v>220</v>
      </c>
      <c r="H101" s="1" t="s">
        <v>221</v>
      </c>
    </row>
    <row r="102" spans="1:8" x14ac:dyDescent="0.2">
      <c r="A102" s="1">
        <v>203023</v>
      </c>
      <c r="B102" s="1" t="s">
        <v>244</v>
      </c>
      <c r="C102" s="1" t="s">
        <v>108</v>
      </c>
      <c r="D102" s="1" t="s">
        <v>128</v>
      </c>
      <c r="E102" s="1" t="s">
        <v>128</v>
      </c>
      <c r="F102" s="1" t="s">
        <v>71</v>
      </c>
      <c r="G102" s="1" t="s">
        <v>222</v>
      </c>
      <c r="H102" s="1" t="s">
        <v>223</v>
      </c>
    </row>
    <row r="103" spans="1:8" x14ac:dyDescent="0.2">
      <c r="A103" s="1">
        <v>203023</v>
      </c>
      <c r="B103" s="1" t="s">
        <v>244</v>
      </c>
      <c r="C103" s="1" t="s">
        <v>108</v>
      </c>
      <c r="D103" s="1" t="s">
        <v>128</v>
      </c>
      <c r="E103" s="1" t="s">
        <v>128</v>
      </c>
      <c r="F103" s="1" t="s">
        <v>99</v>
      </c>
      <c r="G103" s="1" t="s">
        <v>224</v>
      </c>
      <c r="H103" s="1" t="s">
        <v>225</v>
      </c>
    </row>
    <row r="104" spans="1:8" x14ac:dyDescent="0.2">
      <c r="A104" s="1">
        <v>203023</v>
      </c>
      <c r="B104" s="1" t="s">
        <v>244</v>
      </c>
      <c r="C104" s="1" t="s">
        <v>117</v>
      </c>
      <c r="D104" s="1" t="s">
        <v>128</v>
      </c>
      <c r="E104" s="1" t="s">
        <v>128</v>
      </c>
      <c r="F104" s="1" t="s">
        <v>89</v>
      </c>
      <c r="G104" s="1" t="s">
        <v>226</v>
      </c>
      <c r="H104" s="1" t="s">
        <v>75</v>
      </c>
    </row>
    <row r="105" spans="1:8" x14ac:dyDescent="0.2">
      <c r="A105" s="1">
        <v>203023</v>
      </c>
      <c r="B105" s="1" t="s">
        <v>244</v>
      </c>
      <c r="C105" s="1" t="s">
        <v>107</v>
      </c>
      <c r="D105" s="1" t="s">
        <v>128</v>
      </c>
      <c r="E105" s="1" t="s">
        <v>128</v>
      </c>
      <c r="F105" s="1" t="s">
        <v>96</v>
      </c>
      <c r="G105" s="1" t="s">
        <v>227</v>
      </c>
      <c r="H105" s="1" t="s">
        <v>228</v>
      </c>
    </row>
    <row r="106" spans="1:8" x14ac:dyDescent="0.2">
      <c r="A106" s="1">
        <v>203023</v>
      </c>
      <c r="B106" s="1" t="s">
        <v>244</v>
      </c>
      <c r="C106" s="1" t="s">
        <v>107</v>
      </c>
      <c r="D106" s="1" t="s">
        <v>128</v>
      </c>
      <c r="E106" s="1" t="s">
        <v>128</v>
      </c>
      <c r="F106" s="1" t="s">
        <v>69</v>
      </c>
      <c r="G106" s="1" t="s">
        <v>229</v>
      </c>
      <c r="H106" s="1" t="s">
        <v>230</v>
      </c>
    </row>
    <row r="107" spans="1:8" x14ac:dyDescent="0.2">
      <c r="A107" s="1">
        <v>203023</v>
      </c>
      <c r="B107" s="1" t="s">
        <v>244</v>
      </c>
      <c r="C107" s="1" t="s">
        <v>107</v>
      </c>
      <c r="D107" s="1" t="s">
        <v>128</v>
      </c>
      <c r="E107" s="1" t="s">
        <v>128</v>
      </c>
      <c r="F107" s="1" t="s">
        <v>80</v>
      </c>
      <c r="G107" s="1" t="s">
        <v>231</v>
      </c>
      <c r="H107" s="1" t="s">
        <v>232</v>
      </c>
    </row>
    <row r="108" spans="1:8" x14ac:dyDescent="0.2">
      <c r="A108" s="1">
        <v>203023</v>
      </c>
      <c r="B108" s="1" t="s">
        <v>244</v>
      </c>
      <c r="C108" s="1" t="s">
        <v>107</v>
      </c>
      <c r="D108" s="1" t="s">
        <v>128</v>
      </c>
      <c r="E108" s="1" t="s">
        <v>128</v>
      </c>
      <c r="F108" s="1" t="s">
        <v>132</v>
      </c>
      <c r="G108" s="1" t="s">
        <v>233</v>
      </c>
    </row>
    <row r="109" spans="1:8" x14ac:dyDescent="0.2">
      <c r="A109" s="1">
        <v>203023</v>
      </c>
      <c r="B109" s="1" t="s">
        <v>244</v>
      </c>
      <c r="C109" s="1" t="s">
        <v>107</v>
      </c>
      <c r="D109" s="1" t="s">
        <v>128</v>
      </c>
      <c r="E109" s="1" t="s">
        <v>128</v>
      </c>
      <c r="F109" s="1" t="s">
        <v>88</v>
      </c>
      <c r="G109" s="1" t="s">
        <v>234</v>
      </c>
      <c r="H109" s="1">
        <v>3.407</v>
      </c>
    </row>
    <row r="110" spans="1:8" x14ac:dyDescent="0.2">
      <c r="A110" s="1">
        <v>203023</v>
      </c>
      <c r="B110" s="1" t="s">
        <v>244</v>
      </c>
      <c r="C110" s="1" t="s">
        <v>107</v>
      </c>
      <c r="D110" s="1" t="s">
        <v>128</v>
      </c>
      <c r="E110" s="1" t="s">
        <v>128</v>
      </c>
      <c r="F110" s="1" t="s">
        <v>74</v>
      </c>
      <c r="G110" s="1" t="s">
        <v>236</v>
      </c>
      <c r="H110" s="1">
        <v>673.54499999999996</v>
      </c>
    </row>
    <row r="111" spans="1:8" x14ac:dyDescent="0.2">
      <c r="A111" s="1">
        <v>203023</v>
      </c>
      <c r="B111" s="1" t="s">
        <v>244</v>
      </c>
      <c r="C111" s="1" t="s">
        <v>107</v>
      </c>
      <c r="D111" s="1" t="s">
        <v>128</v>
      </c>
      <c r="E111" s="1" t="s">
        <v>128</v>
      </c>
      <c r="F111" s="1" t="s">
        <v>74</v>
      </c>
      <c r="G111" s="1" t="s">
        <v>238</v>
      </c>
      <c r="H111" s="1">
        <v>3.6930000000000001</v>
      </c>
    </row>
    <row r="112" spans="1:8" x14ac:dyDescent="0.2">
      <c r="A112" s="1">
        <v>203023</v>
      </c>
      <c r="B112" s="1" t="s">
        <v>244</v>
      </c>
      <c r="C112" s="1" t="s">
        <v>107</v>
      </c>
      <c r="D112" s="1" t="s">
        <v>128</v>
      </c>
      <c r="E112" s="1" t="s">
        <v>128</v>
      </c>
      <c r="F112" s="1" t="s">
        <v>69</v>
      </c>
      <c r="G112" s="1" t="s">
        <v>240</v>
      </c>
      <c r="H112" s="1">
        <v>150</v>
      </c>
    </row>
    <row r="113" spans="1:8" x14ac:dyDescent="0.2">
      <c r="A113" s="1">
        <v>203023</v>
      </c>
      <c r="B113" s="1" t="s">
        <v>244</v>
      </c>
      <c r="C113" s="1" t="s">
        <v>107</v>
      </c>
      <c r="D113" s="1" t="s">
        <v>128</v>
      </c>
      <c r="E113" s="1" t="s">
        <v>128</v>
      </c>
      <c r="F113" s="1" t="s">
        <v>74</v>
      </c>
      <c r="G113" s="1" t="s">
        <v>242</v>
      </c>
      <c r="H113" s="1">
        <v>35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H92"/>
  <sheetViews>
    <sheetView tabSelected="1" workbookViewId="0">
      <selection activeCell="D102" sqref="D102"/>
    </sheetView>
  </sheetViews>
  <sheetFormatPr baseColWidth="10" defaultRowHeight="15" x14ac:dyDescent="0.2"/>
  <cols>
    <col min="2" max="2" width="11.1640625" style="10" bestFit="1" customWidth="1"/>
    <col min="4" max="4" width="65.5" customWidth="1"/>
    <col min="5" max="5" width="12.5" style="12" customWidth="1"/>
    <col min="6" max="6" width="35.33203125" customWidth="1"/>
    <col min="7" max="7" width="34.83203125" customWidth="1"/>
    <col min="8" max="8" width="41.1640625" customWidth="1"/>
  </cols>
  <sheetData>
    <row r="1" spans="1:8" s="7" customFormat="1" x14ac:dyDescent="0.2">
      <c r="A1" s="8" t="s">
        <v>119</v>
      </c>
      <c r="B1" s="9" t="s">
        <v>120</v>
      </c>
      <c r="C1" s="8" t="s">
        <v>126</v>
      </c>
      <c r="D1" s="8" t="s">
        <v>121</v>
      </c>
      <c r="E1" s="11" t="s">
        <v>127</v>
      </c>
      <c r="F1" s="8" t="s">
        <v>118</v>
      </c>
      <c r="G1" s="8" t="s">
        <v>122</v>
      </c>
      <c r="H1" s="8" t="s">
        <v>123</v>
      </c>
    </row>
    <row r="2" spans="1:8" x14ac:dyDescent="0.2">
      <c r="A2">
        <f>+Hoja2!A23</f>
        <v>203023</v>
      </c>
      <c r="B2" s="10" t="str">
        <f>+MID(+Hoja2!B23,1,10)</f>
        <v>24/09/21</v>
      </c>
      <c r="C2">
        <v>702</v>
      </c>
      <c r="D2" t="str">
        <f>+Hoja2!C23</f>
        <v>Secretaría de Comunicaciones</v>
      </c>
      <c r="E2" s="12" t="str">
        <f>+MID(Hoja2!F23,1,2)</f>
        <v>01</v>
      </c>
      <c r="F2" t="str">
        <f>+MID(Hoja2!F23,4,20)</f>
        <v>POPULAR</v>
      </c>
      <c r="G2" t="str">
        <f>+Hoja2!G23</f>
        <v>Reunión para la socialización de los formatos y compromisos para la ejecución de Presupuesto Participativo con Convivamos, el día miércoles 15 de septiembre</v>
      </c>
      <c r="H2" t="str">
        <f>+Hoja2!H23</f>
        <v>N/A</v>
      </c>
    </row>
    <row r="3" spans="1:8" x14ac:dyDescent="0.2">
      <c r="A3">
        <f>+Hoja2!A24</f>
        <v>203023</v>
      </c>
      <c r="B3" s="10" t="str">
        <f>+MID(+Hoja2!B24,1,10)</f>
        <v>24/09/21</v>
      </c>
      <c r="C3">
        <v>702</v>
      </c>
      <c r="D3" t="str">
        <f>+Hoja2!C24</f>
        <v>Secretaría de Comunicaciones</v>
      </c>
      <c r="E3" s="12" t="str">
        <f>+MID(Hoja2!F24,1,2)</f>
        <v>04</v>
      </c>
      <c r="F3" t="str">
        <f>+MID(Hoja2!F24,4,20)</f>
        <v>ARANJUEZ</v>
      </c>
      <c r="G3" t="str">
        <f>+Hoja2!G24</f>
        <v>Reunión para la socialización de los formatos y compromisos para la ejecución de Presupuesto Participativo con el medio Emisora La Cuarta Estación, el día lunes 13 de septiembre.</v>
      </c>
      <c r="H3" t="str">
        <f>+Hoja2!H24</f>
        <v>N/A</v>
      </c>
    </row>
    <row r="4" spans="1:8" x14ac:dyDescent="0.2">
      <c r="A4">
        <f>+Hoja2!A25</f>
        <v>203023</v>
      </c>
      <c r="B4" s="10" t="str">
        <f>+MID(+Hoja2!B25,1,10)</f>
        <v>24/09/21</v>
      </c>
      <c r="C4">
        <v>702</v>
      </c>
      <c r="D4" t="str">
        <f>+Hoja2!C25</f>
        <v>Secretaría de Comunicaciones</v>
      </c>
      <c r="E4" s="12" t="str">
        <f>+MID(Hoja2!F25,1,2)</f>
        <v>09</v>
      </c>
      <c r="F4" t="str">
        <f>+MID(Hoja2!F25,4,20)</f>
        <v>BUENOS AIRES</v>
      </c>
      <c r="G4" t="str">
        <f>+Hoja2!G25</f>
        <v>Reunión para la socialización de los formatos y compromisos para la ejecución de Presupuesto Participativo con el medio La Novena Estación, el día viernes 17 de septiembre.</v>
      </c>
      <c r="H4" t="str">
        <f>+Hoja2!H25</f>
        <v>N/A</v>
      </c>
    </row>
    <row r="5" spans="1:8" x14ac:dyDescent="0.2">
      <c r="A5">
        <f>+Hoja2!A26</f>
        <v>203023</v>
      </c>
      <c r="B5" s="10" t="str">
        <f>+MID(+Hoja2!B26,1,10)</f>
        <v>24/09/21</v>
      </c>
      <c r="C5">
        <v>702</v>
      </c>
      <c r="D5" t="str">
        <f>+Hoja2!C26</f>
        <v>Secretaría de Comunicaciones</v>
      </c>
      <c r="E5" s="12" t="str">
        <f>+MID(Hoja2!F26,1,2)</f>
        <v>13</v>
      </c>
      <c r="F5" t="str">
        <f>+MID(Hoja2!F26,4,20)</f>
        <v>SAN JAVIER</v>
      </c>
      <c r="G5" t="str">
        <f>+Hoja2!G26</f>
        <v xml:space="preserve">Reunión de asesoría de la Convocatoria Medellín Palpita desde sus Territorios 2021, con los procesos y medios Magazine Hip Hop, el día martes 14 de septiembre, y Kinésica, el día jueves 16 de septiembre ,con el fin de revisar los productos que a la fecha se han aprobado y ejecutado a la fecha en el marco de la convocatoria. 
Reunión de inicio de ejecución de Presupuesto Participativo, con Corporación Siglo XXI, el día miércoles 15 de septiembre. En esta  reunión convocada por Plaza Mayor, se socializó con el medio las generalidades de la ejecución del contrato, se revisaron los productos, el formato de informe final y las fechas de facturación establecidas para los pagos.
</v>
      </c>
      <c r="H5" t="str">
        <f>+Hoja2!H26</f>
        <v>N/A</v>
      </c>
    </row>
    <row r="6" spans="1:8" x14ac:dyDescent="0.2">
      <c r="A6">
        <f>+Hoja2!A27</f>
        <v>203023</v>
      </c>
      <c r="B6" s="10" t="str">
        <f>+MID(+Hoja2!B27,1,10)</f>
        <v>24/09/21</v>
      </c>
      <c r="C6">
        <v>702</v>
      </c>
      <c r="D6" t="str">
        <f>+Hoja2!C27</f>
        <v>Secretaría de Comunicaciones</v>
      </c>
      <c r="E6" s="12" t="str">
        <f>+MID(Hoja2!F27,1,2)</f>
        <v>80</v>
      </c>
      <c r="F6" t="str">
        <f>+MID(Hoja2!F27,4,20)</f>
        <v>SAN ANTONIO DE PRADO</v>
      </c>
      <c r="G6" t="str">
        <f>+Hoja2!G27</f>
        <v xml:space="preserve">Reunión de presentación de estrategia de comunicación y movilización corregimental con el medio Comunas de Medellín, el día martes 14 de septiembre.
Reunión de asesoría de la Convocatoria Medellín Palpita desde sus Territorios 2021, con los procesos y medios La Voz de los Corregimientos, Coravisión y Frecuencia Estéreo, el día martes 14 de septiembre, con el fin de revisar los productos que a la fecha se han aprobado y ejecutado a la fecha en el marco de la convocatoria.
</v>
      </c>
      <c r="H6" t="str">
        <f>+Hoja2!H27</f>
        <v>N/A</v>
      </c>
    </row>
    <row r="7" spans="1:8" x14ac:dyDescent="0.2">
      <c r="A7">
        <f>+Hoja2!A28</f>
        <v>203023</v>
      </c>
      <c r="B7" s="10" t="str">
        <f>+MID(+Hoja2!B28,1,10)</f>
        <v>24/09/21</v>
      </c>
      <c r="C7">
        <f>+VLOOKUP(D7,DepMaster!$B:$C,2,FALSE)</f>
        <v>712</v>
      </c>
      <c r="D7" t="str">
        <f>+Hoja2!C28</f>
        <v>Secretaría de Participación Ciudadana</v>
      </c>
      <c r="E7" s="12" t="str">
        <f>+MID(Hoja2!F28,1,2)</f>
        <v>01</v>
      </c>
      <c r="F7" t="str">
        <f>+MID(Hoja2!F28,4,20)</f>
        <v>POPULAR</v>
      </c>
      <c r="G7" t="str">
        <f>+Hoja2!G28</f>
        <v>Evaluación de las propuestas de organizaciones sociales para la ejecución de recursos de presupuesto participativo</v>
      </c>
      <c r="H7" t="str">
        <f>+Hoja2!H28</f>
        <v>N/A</v>
      </c>
    </row>
    <row r="8" spans="1:8" x14ac:dyDescent="0.2">
      <c r="A8">
        <f>+Hoja2!A29</f>
        <v>203023</v>
      </c>
      <c r="B8" s="10" t="str">
        <f>+MID(+Hoja2!B29,1,10)</f>
        <v>24/09/21</v>
      </c>
      <c r="C8">
        <f>+VLOOKUP(D8,DepMaster!$B:$C,2,FALSE)</f>
        <v>712</v>
      </c>
      <c r="D8" t="str">
        <f>+Hoja2!C29</f>
        <v>Secretaría de Participación Ciudadana</v>
      </c>
      <c r="E8" s="12" t="str">
        <f>+MID(Hoja2!F29,1,2)</f>
        <v>03</v>
      </c>
      <c r="F8" t="str">
        <f>+MID(Hoja2!F29,4,20)</f>
        <v>MANRIQUE</v>
      </c>
      <c r="G8" t="str">
        <f>+Hoja2!G29</f>
        <v>Evaluación de las propuestas de organizaciones sociales para la ejecución de recursos de presupuesto participativo</v>
      </c>
      <c r="H8" t="str">
        <f>+Hoja2!H29</f>
        <v>N/A</v>
      </c>
    </row>
    <row r="9" spans="1:8" x14ac:dyDescent="0.2">
      <c r="A9">
        <f>+Hoja2!A30</f>
        <v>203023</v>
      </c>
      <c r="B9" s="10" t="str">
        <f>+MID(+Hoja2!B30,1,10)</f>
        <v>24/09/21</v>
      </c>
      <c r="C9">
        <f>+VLOOKUP(D9,DepMaster!$B:$C,2,FALSE)</f>
        <v>712</v>
      </c>
      <c r="D9" t="str">
        <f>+Hoja2!C30</f>
        <v>Secretaría de Participación Ciudadana</v>
      </c>
      <c r="E9" s="12" t="str">
        <f>+MID(Hoja2!F30,1,2)</f>
        <v>05</v>
      </c>
      <c r="F9" t="str">
        <f>+MID(Hoja2!F30,4,20)</f>
        <v>CASTILLA</v>
      </c>
      <c r="G9" t="str">
        <f>+Hoja2!G30</f>
        <v>Evaluación de las propuestas de organizaciones sociales para la ejecución de recursos de presupuesto participativo</v>
      </c>
      <c r="H9" t="str">
        <f>+Hoja2!H30</f>
        <v>N/A</v>
      </c>
    </row>
    <row r="10" spans="1:8" x14ac:dyDescent="0.2">
      <c r="A10">
        <f>+Hoja2!A31</f>
        <v>203023</v>
      </c>
      <c r="B10" s="10" t="str">
        <f>+MID(+Hoja2!B31,1,10)</f>
        <v>24/09/21</v>
      </c>
      <c r="C10">
        <f>+VLOOKUP(D10,DepMaster!$B:$C,2,FALSE)</f>
        <v>712</v>
      </c>
      <c r="D10" t="str">
        <f>+Hoja2!C31</f>
        <v>Secretaría de Participación Ciudadana</v>
      </c>
      <c r="E10" s="12" t="str">
        <f>+MID(Hoja2!F31,1,2)</f>
        <v>06</v>
      </c>
      <c r="F10" t="str">
        <f>+MID(Hoja2!F31,4,20)</f>
        <v>DOCE DE OCTUBRE</v>
      </c>
      <c r="G10" t="str">
        <f>+Hoja2!G31</f>
        <v>Evaluación de las propuestas de organizaciones sociales para la ejecución de recursos de presupuesto participativo</v>
      </c>
      <c r="H10" t="str">
        <f>+Hoja2!H31</f>
        <v>N/A</v>
      </c>
    </row>
    <row r="11" spans="1:8" x14ac:dyDescent="0.2">
      <c r="A11">
        <f>+Hoja2!A32</f>
        <v>203023</v>
      </c>
      <c r="B11" s="10" t="str">
        <f>+MID(+Hoja2!B32,1,10)</f>
        <v>24/09/21</v>
      </c>
      <c r="C11">
        <f>+VLOOKUP(D11,DepMaster!$B:$C,2,FALSE)</f>
        <v>712</v>
      </c>
      <c r="D11" t="str">
        <f>+Hoja2!C32</f>
        <v>Secretaría de Participación Ciudadana</v>
      </c>
      <c r="E11" s="12" t="str">
        <f>+MID(Hoja2!F32,1,2)</f>
        <v>09</v>
      </c>
      <c r="F11" t="str">
        <f>+MID(Hoja2!F32,4,20)</f>
        <v>BUENOS AIRES</v>
      </c>
      <c r="G11" t="str">
        <f>+Hoja2!G32</f>
        <v>Evaluación de las propuestas de organizaciones sociales para la ejecución de recursos de presupuesto participativo</v>
      </c>
      <c r="H11" t="str">
        <f>+Hoja2!H32</f>
        <v>N/A</v>
      </c>
    </row>
    <row r="12" spans="1:8" x14ac:dyDescent="0.2">
      <c r="A12">
        <f>+Hoja2!A33</f>
        <v>203023</v>
      </c>
      <c r="B12" s="10" t="str">
        <f>+MID(+Hoja2!B33,1,10)</f>
        <v>24/09/21</v>
      </c>
      <c r="C12">
        <f>+VLOOKUP(D12,DepMaster!$B:$C,2,FALSE)</f>
        <v>712</v>
      </c>
      <c r="D12" t="str">
        <f>+Hoja2!C33</f>
        <v>Secretaría de Participación Ciudadana</v>
      </c>
      <c r="E12" s="12" t="str">
        <f>+MID(Hoja2!F33,1,2)</f>
        <v>13</v>
      </c>
      <c r="F12" t="str">
        <f>+MID(Hoja2!F33,4,20)</f>
        <v>SAN JAVIER</v>
      </c>
      <c r="G12" t="str">
        <f>+Hoja2!G33</f>
        <v>Evaluación de las propuestas de organizaciones sociales para la ejecución de recursos de presupuesto participativo</v>
      </c>
      <c r="H12" t="str">
        <f>+Hoja2!H33</f>
        <v>N/A</v>
      </c>
    </row>
    <row r="13" spans="1:8" x14ac:dyDescent="0.2">
      <c r="A13">
        <f>+Hoja2!A34</f>
        <v>203023</v>
      </c>
      <c r="B13" s="10" t="str">
        <f>+MID(+Hoja2!B34,1,10)</f>
        <v>24/09/21</v>
      </c>
      <c r="C13">
        <f>+VLOOKUP(D13,DepMaster!$B:$C,2,FALSE)</f>
        <v>712</v>
      </c>
      <c r="D13" t="str">
        <f>+Hoja2!C34</f>
        <v>Secretaría de Participación Ciudadana</v>
      </c>
      <c r="E13" s="12" t="str">
        <f>+MID(Hoja2!F34,1,2)</f>
        <v>14</v>
      </c>
      <c r="F13" t="str">
        <f>+MID(Hoja2!F34,4,20)</f>
        <v>EL POBLADO</v>
      </c>
      <c r="G13" t="str">
        <f>+Hoja2!G34</f>
        <v>Evaluación de las propuestas de organizaciones sociales para la ejecución de recursos de presupuesto participativo</v>
      </c>
      <c r="H13" t="str">
        <f>+Hoja2!H34</f>
        <v>N/A</v>
      </c>
    </row>
    <row r="14" spans="1:8" x14ac:dyDescent="0.2">
      <c r="A14">
        <f>+Hoja2!A35</f>
        <v>203023</v>
      </c>
      <c r="B14" s="10" t="str">
        <f>+MID(+Hoja2!B35,1,10)</f>
        <v>24/09/21</v>
      </c>
      <c r="C14">
        <f>+VLOOKUP(D14,DepMaster!$B:$C,2,FALSE)</f>
        <v>712</v>
      </c>
      <c r="D14" t="str">
        <f>+Hoja2!C35</f>
        <v>Secretaría de Participación Ciudadana</v>
      </c>
      <c r="E14" s="12" t="str">
        <f>+MID(Hoja2!F35,1,2)</f>
        <v>50</v>
      </c>
      <c r="F14" t="str">
        <f>+MID(Hoja2!F35,4,20)</f>
        <v>PALMITAS</v>
      </c>
      <c r="G14" t="str">
        <f>+Hoja2!G35</f>
        <v>Evaluación de las propuestas de organizaciones sociales para la ejecución de recursos de presupuesto participativo</v>
      </c>
      <c r="H14" t="str">
        <f>+Hoja2!H35</f>
        <v>N/A</v>
      </c>
    </row>
    <row r="15" spans="1:8" x14ac:dyDescent="0.2">
      <c r="A15">
        <f>+Hoja2!A36</f>
        <v>203023</v>
      </c>
      <c r="B15" s="10" t="str">
        <f>+MID(+Hoja2!B36,1,10)</f>
        <v>24/09/21</v>
      </c>
      <c r="C15">
        <f>+VLOOKUP(D15,DepMaster!$B:$C,2,FALSE)</f>
        <v>712</v>
      </c>
      <c r="D15" t="str">
        <f>+Hoja2!C36</f>
        <v>Secretaría de Participación Ciudadana</v>
      </c>
      <c r="E15" s="12" t="str">
        <f>+MID(Hoja2!F36,1,2)</f>
        <v>60</v>
      </c>
      <c r="F15" t="str">
        <f>+MID(Hoja2!F36,4,20)</f>
        <v>SAN CRISTOBAL</v>
      </c>
      <c r="G15" t="str">
        <f>+Hoja2!G36</f>
        <v>Evaluación de las propuestas de organizaciones sociales para la ejecución de recursos de presupuesto participativo</v>
      </c>
      <c r="H15" t="str">
        <f>+Hoja2!H36</f>
        <v>N/A</v>
      </c>
    </row>
    <row r="16" spans="1:8" x14ac:dyDescent="0.2">
      <c r="A16">
        <f>+Hoja2!A37</f>
        <v>203023</v>
      </c>
      <c r="B16" s="10" t="str">
        <f>+MID(+Hoja2!B37,1,10)</f>
        <v>24/09/21</v>
      </c>
      <c r="C16">
        <f>+VLOOKUP(D16,DepMaster!$B:$C,2,FALSE)</f>
        <v>723</v>
      </c>
      <c r="D16" t="str">
        <f>+Hoja2!C37</f>
        <v>Secretaría de las Mujeres</v>
      </c>
      <c r="E16" s="12" t="str">
        <f>+MID(Hoja2!F37,1,2)</f>
        <v>80</v>
      </c>
      <c r="F16" t="str">
        <f>+MID(Hoja2!F37,4,20)</f>
        <v>SAN ANTONIO DE PRADO</v>
      </c>
      <c r="G16" t="str">
        <f>+Hoja2!G37</f>
        <v>1.	49 estudiantes realizan el segundo encuentro de Cátedra de Género de manera presencial COOMULSAP en las sedes: Los Patios y Corvide (Comuna 80 San Antonio de Prado). Esto favorece la transformación de imaginarios sexistas en la escuela.</v>
      </c>
      <c r="H16" t="str">
        <f>+Hoja2!H37</f>
        <v>.</v>
      </c>
    </row>
    <row r="17" spans="1:8" x14ac:dyDescent="0.2">
      <c r="A17">
        <f>+Hoja2!A38</f>
        <v>203023</v>
      </c>
      <c r="B17" s="10" t="str">
        <f>+MID(+Hoja2!B38,1,10)</f>
        <v>24/09/21</v>
      </c>
      <c r="C17">
        <f>+VLOOKUP(D17,DepMaster!$B:$C,2,FALSE)</f>
        <v>723</v>
      </c>
      <c r="D17" t="str">
        <f>+Hoja2!C38</f>
        <v>Secretaría de las Mujeres</v>
      </c>
      <c r="E17" s="12" t="str">
        <f>+MID(Hoja2!F38,1,2)</f>
        <v>14</v>
      </c>
      <c r="F17" t="str">
        <f>+MID(Hoja2!F38,4,20)</f>
        <v>EL POBLADO</v>
      </c>
      <c r="G17" t="str">
        <f>+Hoja2!G38</f>
        <v xml:space="preserve">2.	El 15 de septiembre se realizó el taller presencial “Lo que hay que saber de la equidad de género” con 21 personas la constructora Capital en la Comuna 14. Esto permitió al equipo asumir nuevos escenarios y enfrentarse a un público inquieto, y en ocasiones escéptico, frente a las temáticas planteadas desde de la estrategia. </v>
      </c>
      <c r="H17" t="str">
        <f>+Hoja2!H38</f>
        <v>.</v>
      </c>
    </row>
    <row r="18" spans="1:8" x14ac:dyDescent="0.2">
      <c r="A18">
        <f>+Hoja2!A39</f>
        <v>203023</v>
      </c>
      <c r="B18" s="10" t="str">
        <f>+MID(+Hoja2!B39,1,10)</f>
        <v>24/09/21</v>
      </c>
      <c r="C18">
        <f>+VLOOKUP(D18,DepMaster!$B:$C,2,FALSE)</f>
        <v>723</v>
      </c>
      <c r="D18" t="str">
        <f>+Hoja2!C39</f>
        <v>Secretaría de las Mujeres</v>
      </c>
      <c r="E18" s="12" t="str">
        <f>+MID(Hoja2!F39,1,2)</f>
        <v>15</v>
      </c>
      <c r="F18" t="str">
        <f>+MID(Hoja2!F39,4,20)</f>
        <v>GUAYABAL</v>
      </c>
      <c r="G18" t="str">
        <f>+Hoja2!G39</f>
        <v>3.	El 16 de septiembre se realizó taller con 30 mujeres sobre priorización de proyectos de PP con enfoque de género y el proceso de elección de consejeros y consejeras al CCCP, con la Mesa Gerontológica y el colectivo de mujeres de la Comuna 15 a través de la articulación con Secretaría de Participación Ciudadana, Inclusión social, JAL y representantes del CCCP. Esto permite avanzar en el objetivo de que las mujeres puedan participar en igualdad de condiciones en espacios de decisión de la ciudad.</v>
      </c>
      <c r="H18" t="str">
        <f>+Hoja2!H39</f>
        <v>.</v>
      </c>
    </row>
    <row r="19" spans="1:8" x14ac:dyDescent="0.2">
      <c r="A19">
        <f>+Hoja2!A40</f>
        <v>203023</v>
      </c>
      <c r="B19" s="10" t="str">
        <f>+MID(+Hoja2!B40,1,10)</f>
        <v>24/09/21</v>
      </c>
      <c r="C19">
        <f>+VLOOKUP(D19,DepMaster!$B:$C,2,FALSE)</f>
        <v>732</v>
      </c>
      <c r="D19" t="str">
        <f>+Hoja2!C40</f>
        <v>Secretaría de Seguridad y Convivencia</v>
      </c>
      <c r="E19" s="12" t="str">
        <f>+MID(Hoja2!F40,1,2)</f>
        <v>01</v>
      </c>
      <c r="F19" t="str">
        <f>+MID(Hoja2!F40,4,20)</f>
        <v>POPULAR</v>
      </c>
      <c r="G19" t="str">
        <f>+Hoja2!G40</f>
        <v>-	Se termina la etapa contractual con Metroparques de los recursos de PL y PP 2.021. Inversión $2.604.762.199.</v>
      </c>
      <c r="H19" t="str">
        <f>+Hoja2!H40</f>
        <v>N/A</v>
      </c>
    </row>
    <row r="20" spans="1:8" x14ac:dyDescent="0.2">
      <c r="A20">
        <f>+Hoja2!A41</f>
        <v>203023</v>
      </c>
      <c r="B20" s="10" t="str">
        <f>+MID(+Hoja2!B41,1,10)</f>
        <v>24/09/21</v>
      </c>
      <c r="C20">
        <f>+VLOOKUP(D20,DepMaster!$B:$C,2,FALSE)</f>
        <v>732</v>
      </c>
      <c r="D20" t="str">
        <f>+Hoja2!C41</f>
        <v>Secretaría de Seguridad y Convivencia</v>
      </c>
      <c r="E20" s="12" t="str">
        <f>+MID(Hoja2!F41,1,2)</f>
        <v>02</v>
      </c>
      <c r="F20" t="str">
        <f>+MID(Hoja2!F41,4,20)</f>
        <v>SANTA CRUZ</v>
      </c>
      <c r="G20" t="str">
        <f>+Hoja2!G41</f>
        <v xml:space="preserve">-	Se logra contribuir a la prevención de consumo y venta de estupefacientes como  riesgo social desde las instituciones educativas. 
-	Se logra contribuir a la prevención de la violencia mujer/ VIF.
-	Se contribuye a la prevención de las violencias a NNAJ y prevención del delito, con jornada de servicios interinstitucionales en el barrio Moscú, y en barrio Villa del socorro.
-	El día sábado 18 de septiembre se realizó acompañamiento a la feria de servicios realizada en el coliseo contiguo a la Casa de Justicia Villa del Socorro por la Secretaria de Inclusión Social, Familia y DDHH en conjunto con el programa Buen Comienzo, INDER, Secretaría de Salud, Policía Nacional.
-	El 16 de septiembre en la casa de justicia del barrio Villa del Socorro se realizó socialización del Código Nacional de Seguridad y Convivencia en el marco de la feria de servicios, haciendo un llamado al cumplimiento de la norma y el compromiso ciudadano para la construcción de la convivencia.
-	Se termina la etapa contractual con Metroparques  de los recursos de PL y PP 2.021. Inversión $2.604.762.199.
-	En el barrio Santa Cruz el pasado sábado 18 de septiembre se realizó en articulación con la Secretaría de Inclusión Social, Familia y DDHH una jornada desde el proyecto de la Unidad de Niñez  “Medellín cuida sus niñas, niños y adolescentes” donde pudieron acceder a servicios de vacunación, lúdica con el INDER y participación musical y de baile con la Policía de Infancia y Adolescencia
</v>
      </c>
      <c r="H20" t="str">
        <f>+Hoja2!H41</f>
        <v xml:space="preserve">-	Se logra contribuir a la prevención de consumo y venta de estupefacientes como  riesgo social desde las instituciones educativas. Sensibilizando a 60 estudiantes de la I.E.
-	Se logra contribuir a la prevención de la violencia mujer/ VIF, logrando sensibilizar a 22 mujeres con charla formativa.
-	Se contribuye a la prevención de las violencias a NNAJ y prevención del delito, con jornada de servicios interinstitucionales en el barrio Moscú, y en barrio Villa del socorro, dónde participan 140 personas.
-	El día sábado 18 de septiembre se realizó acompañamiento a la feria de servicios realizada en el coliseo contiguo a la Casa de Justicia Villa del Socorro por la Secretaria de Inclusión Social, Familia y DDHH en conjunto con el programa Buen Comienzo, INDER, Secretaría de Salud, Policía Nacional, favoreciéndose a 90 personas.
-	El 16 de septiembre en la casa de justicia del barrio Villa del Socorro se realizó socialización del Código Nacional de Seguridad y Convivencia en el marco de la feria de servicios, haciendo un llamado al cumplimiento de la norma y el compromiso ciudadano para la construcción de la convivencia. Se impactaron  60 personas.
-	En el barrio Santa Cruz el pasado sábado 18 de septiembre se realizó en articulación con la Secretaría de Inclusión Social, Familia y DDHH una jornada desde el proyecto de la Unidad de Niñez  “Medellín cuida sus niñas, niños y adolescentes” que tuvo participación de 60 adultos y 180 niños que pudieron acceder a servicios de vacunación, lúdica con el INDER y participación musical y de baile con la Policía de Infancia y Adolescencia
</v>
      </c>
    </row>
    <row r="21" spans="1:8" x14ac:dyDescent="0.2">
      <c r="A21">
        <f>+Hoja2!A42</f>
        <v>203023</v>
      </c>
      <c r="B21" s="10" t="str">
        <f>+MID(+Hoja2!B42,1,10)</f>
        <v>24/09/21</v>
      </c>
      <c r="C21">
        <f>+VLOOKUP(D21,DepMaster!$B:$C,2,FALSE)</f>
        <v>732</v>
      </c>
      <c r="D21" t="str">
        <f>+Hoja2!C42</f>
        <v>Secretaría de Seguridad y Convivencia</v>
      </c>
      <c r="E21" s="12" t="str">
        <f>+MID(Hoja2!F42,1,2)</f>
        <v>03</v>
      </c>
      <c r="F21" t="str">
        <f>+MID(Hoja2!F42,4,20)</f>
        <v>MANRIQUE</v>
      </c>
      <c r="G21" t="str">
        <f>+Hoja2!G42</f>
        <v xml:space="preserve">-	El 17 de septiembre en articulación con el Sistema de Prevención, Convivencia y Seguridad Ciudadana de la Policía, la JAL y Líderes del sector, se realizó en el barrio Raizal la sensibilización del Código Nacional de Seguridad y Convivencia Ciudadana y la celebración del amor y la amistad. Lo anterior en el marco de las acciones del plan especial de la comuna, con el fin de modificar los comportamientos contrarios a la convivencia en el sector. 
-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	Se apoyó el traslado logístico de los enseres de dos familias damnificadas del barrio Guadalupe a diferentes puntos de la ciudad (Belencito-Manrique).
</v>
      </c>
      <c r="H21" t="str">
        <f>+Hoja2!H42</f>
        <v>-	El 17 de septiembre en articulación con el Sistema de Prevención, Convivencia y Seguridad Ciudadana de la Policía, la JAL y Líderes del sector, se realizó en el barrio Raizal la sensibilización del Código Nacional de Seguridad y Convivencia Ciudadana y la celebración del amor y la amistad. Lo anterior en el marco de las acciones del plan especial de la comuna, con el fin de modificar los comportamientos contrarios a la convivencia en el sector. Participaron 110 personas.
-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Se visitan 3 establecimientos de comercio.</v>
      </c>
    </row>
    <row r="22" spans="1:8" x14ac:dyDescent="0.2">
      <c r="A22">
        <f>+Hoja2!A43</f>
        <v>203023</v>
      </c>
      <c r="B22" s="10" t="str">
        <f>+MID(+Hoja2!B43,1,10)</f>
        <v>24/09/21</v>
      </c>
      <c r="C22">
        <f>+VLOOKUP(D22,DepMaster!$B:$C,2,FALSE)</f>
        <v>732</v>
      </c>
      <c r="D22" t="str">
        <f>+Hoja2!C43</f>
        <v>Secretaría de Seguridad y Convivencia</v>
      </c>
      <c r="E22" s="12" t="str">
        <f>+MID(Hoja2!F43,1,2)</f>
        <v>04</v>
      </c>
      <c r="F22" t="str">
        <f>+MID(Hoja2!F43,4,20)</f>
        <v>ARANJUEZ</v>
      </c>
      <c r="G22" t="str">
        <f>+Hoja2!G43</f>
        <v xml:space="preserve">-	Se realizaron 5 jornadas de Promoción de Rutas de Atención y Mecanismos de Defensa de los DDHH y la Convivencia, durante la semana del 13 al 17 de septiembre, de 9:00 a.m. a 3:00 p.m. en mesas de atención ubicadas al lado de la puerta de acceso principal de la Casa de Justicia El Bosque.
-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	Se termina la etapa contractual con Metroparques  de los recursos de PL y PP 2.021. Inversión $2.604.762.199.
</v>
      </c>
      <c r="H22" t="str">
        <f>+Hoja2!H43</f>
        <v>-	Se realizaron 5 jornadas de Promoción de Rutas de Atención y Mecanismos de Defensa de los DDHH y la Convivencia, durante la semana del 13 al 17 de septiembre, de 9:00 a.m. a 3:00 p.m. en mesas de atención ubicadas al lado de la puerta de acceso principal de la Casa de Justicia El Bosque, atendiéndose a 259 personas.
-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Se visitan 3 establecimientos de comercio.</v>
      </c>
    </row>
    <row r="23" spans="1:8" x14ac:dyDescent="0.2">
      <c r="A23">
        <f>+Hoja2!A44</f>
        <v>203023</v>
      </c>
      <c r="B23" s="10" t="str">
        <f>+MID(+Hoja2!B44,1,10)</f>
        <v>24/09/21</v>
      </c>
      <c r="C23">
        <f>+VLOOKUP(D23,DepMaster!$B:$C,2,FALSE)</f>
        <v>732</v>
      </c>
      <c r="D23" t="str">
        <f>+Hoja2!C44</f>
        <v>Secretaría de Seguridad y Convivencia</v>
      </c>
      <c r="E23" s="12" t="str">
        <f>+MID(Hoja2!F44,1,2)</f>
        <v>05</v>
      </c>
      <c r="F23" t="str">
        <f>+MID(Hoja2!F44,4,20)</f>
        <v>CASTILLA</v>
      </c>
      <c r="G23" t="str">
        <f>+Hoja2!G44</f>
        <v xml:space="preserve">-	Para mitigar la problemática de seguridad en I.E. Diego Echavarría Misas, se logra llevar a cabo reunión con el rector, jefe de núcleo, comandante de CAI y comandante de distrito, donde se establecen acuerdos con PONAL para mitigación de las problemáticas. 
-	Se lleva a cabo encuentro de seguridad con comunidad del barrio Boyacá, en la que la población logró ampliar información sobre problemáticas de seguridad que se presentan y comprometer la acción permanente de policía, específicamente del comando de CAI Soya.
</v>
      </c>
      <c r="H23">
        <f>+Hoja2!H44</f>
        <v>0</v>
      </c>
    </row>
    <row r="24" spans="1:8" x14ac:dyDescent="0.2">
      <c r="A24">
        <f>+Hoja2!A45</f>
        <v>203023</v>
      </c>
      <c r="B24" s="10" t="str">
        <f>+MID(+Hoja2!B45,1,10)</f>
        <v>24/09/21</v>
      </c>
      <c r="C24">
        <f>+VLOOKUP(D24,DepMaster!$B:$C,2,FALSE)</f>
        <v>732</v>
      </c>
      <c r="D24" t="str">
        <f>+Hoja2!C45</f>
        <v>Secretaría de Seguridad y Convivencia</v>
      </c>
      <c r="E24" s="12" t="str">
        <f>+MID(Hoja2!F45,1,2)</f>
        <v>06</v>
      </c>
      <c r="F24" t="str">
        <f>+MID(Hoja2!F45,4,20)</f>
        <v>DOCE DE OCTUBRE</v>
      </c>
      <c r="G24" t="str">
        <f>+Hoja2!G45</f>
        <v>-	En la articulación con la Policía y el abogado de Construye Bien se procedió a notificar y realizar el desmonte de 3 viviendas en situación de loteo en el sector Los Rieles del barrio El Picacho.</v>
      </c>
      <c r="H24">
        <f>+Hoja2!H45</f>
        <v>0</v>
      </c>
    </row>
    <row r="25" spans="1:8" x14ac:dyDescent="0.2">
      <c r="A25">
        <f>+Hoja2!A46</f>
        <v>203023</v>
      </c>
      <c r="B25" s="10" t="str">
        <f>+MID(+Hoja2!B46,1,10)</f>
        <v>24/09/21</v>
      </c>
      <c r="C25">
        <f>+VLOOKUP(D25,DepMaster!$B:$C,2,FALSE)</f>
        <v>732</v>
      </c>
      <c r="D25" t="str">
        <f>+Hoja2!C46</f>
        <v>Secretaría de Seguridad y Convivencia</v>
      </c>
      <c r="E25" s="12" t="str">
        <f>+MID(Hoja2!F46,1,2)</f>
        <v>07</v>
      </c>
      <c r="F25" t="str">
        <f>+MID(Hoja2!F46,4,20)</f>
        <v>ROBLEDO</v>
      </c>
      <c r="G25" t="str">
        <f>+Hoja2!G46</f>
        <v>-	Creación de frentes de seguridad en los barrios Bosques de San Pablo y San Germán con comunidad y comerciantes para ayudar a mitigar los delitos en especial los hurtos.</v>
      </c>
      <c r="H25">
        <f>+Hoja2!H46</f>
        <v>0</v>
      </c>
    </row>
    <row r="26" spans="1:8" x14ac:dyDescent="0.2">
      <c r="A26">
        <f>+Hoja2!A47</f>
        <v>203023</v>
      </c>
      <c r="B26" s="10" t="str">
        <f>+MID(+Hoja2!B47,1,10)</f>
        <v>24/09/21</v>
      </c>
      <c r="C26">
        <f>+VLOOKUP(D26,DepMaster!$B:$C,2,FALSE)</f>
        <v>732</v>
      </c>
      <c r="D26" t="str">
        <f>+Hoja2!C47</f>
        <v>Secretaría de Seguridad y Convivencia</v>
      </c>
      <c r="E26" s="12" t="str">
        <f>+MID(Hoja2!F47,1,2)</f>
        <v>09</v>
      </c>
      <c r="F26" t="str">
        <f>+MID(Hoja2!F47,4,20)</f>
        <v>BUENOS AIRES</v>
      </c>
      <c r="G26" t="str">
        <f>+Hoja2!G47</f>
        <v xml:space="preserve">-	El 16 de septiembre en Barrios de Jesús, se realizó Consejo de Convivencia Ciudadana, donde se trataron temas de servicios públicos, ruido e infracciones urbanísticas. </v>
      </c>
      <c r="H26" t="str">
        <f>+Hoja2!H47</f>
        <v>-	El 16 de septiembre en Barrios de Jesús, se realizó Consejo de Convivencia Ciudadana, donde se trataron temas de servicios públicos, ruido e infracciones urbanísticas. Participaron de este Consejo 24 personas.</v>
      </c>
    </row>
    <row r="27" spans="1:8" x14ac:dyDescent="0.2">
      <c r="A27">
        <f>+Hoja2!A48</f>
        <v>203023</v>
      </c>
      <c r="B27" s="10" t="str">
        <f>+MID(+Hoja2!B48,1,10)</f>
        <v>24/09/21</v>
      </c>
      <c r="C27">
        <f>+VLOOKUP(D27,DepMaster!$B:$C,2,FALSE)</f>
        <v>732</v>
      </c>
      <c r="D27" t="str">
        <f>+Hoja2!C48</f>
        <v>Secretaría de Seguridad y Convivencia</v>
      </c>
      <c r="E27" s="12" t="str">
        <f>+MID(Hoja2!F48,1,2)</f>
        <v>10</v>
      </c>
      <c r="F27" t="str">
        <f>+MID(Hoja2!F48,4,20)</f>
        <v>LA CANDELARIA</v>
      </c>
      <c r="G27" t="str">
        <f>+Hoja2!G48</f>
        <v xml:space="preserve">-	El 14 de septiembre en el barrio San Benito se realizó reunión por solicitud de los residentes del sector que manifiestan inconformidad por los comportamientos contrarios a la convivencia como el uso indebido del espacio público, la mala destinación de los residuos sólidos, el consumo de sustancias psicoactivas por la población habitante de calle. En esta reunión asistieron la Subsecretaría Operativa, el Comandante del CAI Minorista, Apóstol de la Iglesia Bethesda, la Secretaría de Inclusión Social, Familia y DDHH, la subsecretaría de Espacio Público y el Promotor Local de Gobierno, lo que llevó al compromiso de generar una zona segura.
-	El 16 de septiembre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	El 17 de Septiembre, en cumplimiento a compromisos adquiridos en el Consejo de Convivencia Ciudadana realizado con la comunidad de Villa Nueva, el programa “Convive la Noche” realiza asesorías sobre control de ruido a establecimientos comerciales con venta y consumo de licor ubicados en el sector conocido como el “Machete”. Se realizan mediciones pedagógicas de emisión de ruido y se hacen asesorías de aislamiento acústico a los comerciantes que lo manifestaron. 
-	Se termina la etapa contractual con Metroparques  de los recursos de PL y PP 2.021. Inversión $2.604.762.199.
-	En articulación con la Secretaría de Medio Ambiente se logró el retiro de 1.610 llantas en el sector de Barrio Triste que estaban en el espacio público y fueron dispuestas a una planta para su reutilización.
</v>
      </c>
      <c r="H27" t="str">
        <f>+Hoja2!H48</f>
        <v>-	El 17 de Septiembre, en cumplimiento a compromisos adquiridos en el Consejo de Convivencia Ciudadana realizado con la comunidad de Villa Nueva, el programa “Convive la Noche” realiza asesorías sobre control de ruido a establecimientos comerciales con venta y consumo de licor ubicados en el sector conocido como el “Machete”. Se realizan mediciones pedagógicas de emisión de ruido y se hacen asesorías de aislamiento acústico a los comerciantes que lo manifestaron. Se visitan 4 establecimientos comerciales.
-	El 16 de septiembre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Se visitaron 7 establecimientos de comercio. 
-	El 14 de septiembre en el barrio San Benito se realizó reunión por solicitud de los residentes del sector que manifiestan inconformidad por los comportamientos contrarios a la convivencia como el uso indebido del espacio público, la mala destinación de los residuos sólidos, el consumo de sustancias psicoactivas por la población habitante de calle. En esta reunión asistieron la Subsecretaría Operativa, el Comandante del CAI Minorista, Apóstol de la Iglesia Bethesda, la Secretaría de Inclusión Social, Familia y DDHH, la subsecretaría de Espacio Público y el Promotor Local de Gobierno, lo que llevó al compromiso de generar una zona segura. En esta reunión participaron 8 personas.</v>
      </c>
    </row>
    <row r="28" spans="1:8" x14ac:dyDescent="0.2">
      <c r="A28">
        <f>+Hoja2!A49</f>
        <v>203023</v>
      </c>
      <c r="B28" s="10" t="str">
        <f>+MID(+Hoja2!B49,1,10)</f>
        <v>24/09/21</v>
      </c>
      <c r="C28">
        <f>+VLOOKUP(D28,DepMaster!$B:$C,2,FALSE)</f>
        <v>732</v>
      </c>
      <c r="D28" t="str">
        <f>+Hoja2!C49</f>
        <v>Secretaría de Seguridad y Convivencia</v>
      </c>
      <c r="E28" s="12" t="str">
        <f>+MID(Hoja2!F49,1,2)</f>
        <v>11</v>
      </c>
      <c r="F28" t="str">
        <f>+MID(Hoja2!F49,4,20)</f>
        <v>LAURELES</v>
      </c>
      <c r="G28" t="str">
        <f>+Hoja2!G49</f>
        <v xml:space="preserve">-	Apoyo y acompañamiento a Policía Nacional PRECI con campañas preventivas del control de consumo de bebidas embriagantes, lesiones personales, hurtos y autocuidado en el sector de la 70, primer y segundo parque de Laureles.
-	Actividad pedagógica frente a la prevención del hurto a personas en la circular 2 con 71 y 72. Esto a causa de la afectación presentada en los últimos días, se realizará articuladamente con Policía Nacional de vigilancia y PRECI. 
-	El 16 de septiembre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v>
      </c>
      <c r="H28" t="str">
        <f>+Hoja2!H49</f>
        <v xml:space="preserve">-	El 16 de septiembre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Se visitaron 7 establecimientos de comercio. </v>
      </c>
    </row>
    <row r="29" spans="1:8" x14ac:dyDescent="0.2">
      <c r="A29">
        <f>+Hoja2!A50</f>
        <v>203023</v>
      </c>
      <c r="B29" s="10" t="str">
        <f>+MID(+Hoja2!B50,1,10)</f>
        <v>24/09/21</v>
      </c>
      <c r="C29">
        <f>+VLOOKUP(D29,DepMaster!$B:$C,2,FALSE)</f>
        <v>732</v>
      </c>
      <c r="D29" t="str">
        <f>+Hoja2!C50</f>
        <v>Secretaría de Seguridad y Convivencia</v>
      </c>
      <c r="E29" s="12" t="str">
        <f>+MID(Hoja2!F50,1,2)</f>
        <v>12</v>
      </c>
      <c r="F29" t="str">
        <f>+MID(Hoja2!F50,4,20)</f>
        <v>LA AMERICA</v>
      </c>
      <c r="G29" t="str">
        <f>+Hoja2!G50</f>
        <v xml:space="preserve">-	El 15 de septiembre en el barrio Santa Mónica se realizó taller de Formación en Competencias Ciudadanas con integrantes del colectivo de mujeres del sector, allí se trabajó las cuatro habilidades que debe tener un conciliador en convivencia: mirada objetiva, escucha activa, actitud constructiva y corazón abierto. </v>
      </c>
      <c r="H29" t="str">
        <f>+Hoja2!H50</f>
        <v>-	El 15 de septiembre en el barrio Santa Mónica se realizó taller de Formación en Competencias Ciudadanas con integrantes del colectivo de mujeres del sector, allí se trabajó las cuatro habilidades que debe tener un conciliador en convivencia: mirada objetiva, escucha activa, actitud constructiva y corazón abierto. Participaron 16 personas.</v>
      </c>
    </row>
    <row r="30" spans="1:8" x14ac:dyDescent="0.2">
      <c r="A30">
        <f>+Hoja2!A51</f>
        <v>203023</v>
      </c>
      <c r="B30" s="10" t="str">
        <f>+MID(+Hoja2!B51,1,10)</f>
        <v>24/09/21</v>
      </c>
      <c r="C30">
        <f>+VLOOKUP(D30,DepMaster!$B:$C,2,FALSE)</f>
        <v>732</v>
      </c>
      <c r="D30" t="str">
        <f>+Hoja2!C51</f>
        <v>Secretaría de Seguridad y Convivencia</v>
      </c>
      <c r="E30" s="12" t="str">
        <f>+MID(Hoja2!F51,1,2)</f>
        <v>13</v>
      </c>
      <c r="F30" t="str">
        <f>+MID(Hoja2!F51,4,20)</f>
        <v>SAN JAVIER</v>
      </c>
      <c r="G30" t="str">
        <f>+Hoja2!G51</f>
        <v xml:space="preserve">-	La jornada de descongestión que se viene desarrollando en la Inspección 13 de Policía.
-	El 17 de septiembre, en articulación con los funcionarios del Centro Integrado de Intervención, de 10:00 a.m., a 12:00 m, se realizó actividad de prevención y promoción sobre los tipos de maltrato, para indicar las rutas de atención y generar conciencia sobre el respeto por los derechos en diversos sectores de la comuna 13.
-	El 17 de septiembre se realizó socialización de Código Nacional de Seguridad y Convivencia en las escaleras eléctricas, allí se intervino a los comerciantes y se concientizó sobre la importancia del manejo del volumen moderado en sus puestos de trabajo. 
</v>
      </c>
      <c r="H30" t="str">
        <f>+Hoja2!H51</f>
        <v xml:space="preserve">-	La jornada de descongestión que se viene desarrollando en la Inspección 13 de Policía, al 15 de septiembre de 2021 se han evacuado 276 procesos de 2014-2019 logrando una descongestión del 40.3%.
-	El 17 de septiembre, en articulación con los funcionarios del Centro Integrado de Intervención, de 10:00 a.m., a 12:00 m, se realizó actividad de prevención y promoción sobre los tipos de maltrato, para indicar las rutas de atención y generar conciencia sobre el respeto por los derechos en diversos sectores de la comuna 13, impactándose positivamente a 70 personas. 
-	El 17 de septiembre se realizó socialización de Código Nacional de Seguridad y Convivencia en las escaleras eléctricas, allí se intervino a los comerciantes y se concientizó sobre la importancia del manejo del volumen moderado en sus puestos de trabajo. Se impactaron 20 personas.
</v>
      </c>
    </row>
    <row r="31" spans="1:8" x14ac:dyDescent="0.2">
      <c r="A31">
        <f>+Hoja2!A52</f>
        <v>203023</v>
      </c>
      <c r="B31" s="10" t="str">
        <f>+MID(+Hoja2!B52,1,10)</f>
        <v>24/09/21</v>
      </c>
      <c r="C31">
        <f>+VLOOKUP(D31,DepMaster!$B:$C,2,FALSE)</f>
        <v>732</v>
      </c>
      <c r="D31" t="str">
        <f>+Hoja2!C52</f>
        <v>Secretaría de Seguridad y Convivencia</v>
      </c>
      <c r="E31" s="12" t="str">
        <f>+MID(Hoja2!F52,1,2)</f>
        <v>14</v>
      </c>
      <c r="F31" t="str">
        <f>+MID(Hoja2!F52,4,20)</f>
        <v>EL POBLADO</v>
      </c>
      <c r="G31" t="str">
        <f>+Hoja2!G52</f>
        <v xml:space="preserve">-	El viernes 17 de septiembre se realizó sensibilización sobre el nuevo decreto 0737 del 2021 en Parque Lleras y Provenza.
-	El 16 de septiembre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	Se participó en el Comité de Convivencia con los comerciantes de la calle Astorga en el barrio El Poblado con la participación de Gobierno Local, Inspección de Policía y Espacio Público para la sensibilización de la renovación de las autorizaciones de aprovechamiento económico.
</v>
      </c>
      <c r="H31" t="str">
        <f>+Hoja2!H52</f>
        <v xml:space="preserve">-	El 16 de septiembre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Se visitaron 7 establecimientos de comercio. </v>
      </c>
    </row>
    <row r="32" spans="1:8" x14ac:dyDescent="0.2">
      <c r="A32">
        <f>+Hoja2!A53</f>
        <v>203023</v>
      </c>
      <c r="B32" s="10" t="str">
        <f>+MID(+Hoja2!B53,1,10)</f>
        <v>24/09/21</v>
      </c>
      <c r="C32">
        <f>+VLOOKUP(D32,DepMaster!$B:$C,2,FALSE)</f>
        <v>732</v>
      </c>
      <c r="D32" t="str">
        <f>+Hoja2!C53</f>
        <v>Secretaría de Seguridad y Convivencia</v>
      </c>
      <c r="E32" s="12" t="str">
        <f>+MID(Hoja2!F53,1,2)</f>
        <v>16</v>
      </c>
      <c r="F32" t="str">
        <f>+MID(Hoja2!F53,4,20)</f>
        <v>BELEN</v>
      </c>
      <c r="G32" t="str">
        <f>+Hoja2!G53</f>
        <v xml:space="preserve">-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	El pasado fin de semana dentro del marco de la reactivación económica de la ciudad se facilitó el espacio del Aeroparque Juan Pablo II para los artistas callejeros donde se ubicaron en sitios estratégicos del parque y pudieron realizar sus presentaciones musicales.
</v>
      </c>
      <c r="H32" t="str">
        <f>+Hoja2!H53</f>
        <v>-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pedagógica con el ingeniero de sonido del programa. Se visitan 3 establecimientos de comercio.</v>
      </c>
    </row>
    <row r="33" spans="1:8" x14ac:dyDescent="0.2">
      <c r="A33">
        <f>+Hoja2!A54</f>
        <v>203023</v>
      </c>
      <c r="B33" s="10" t="str">
        <f>+MID(+Hoja2!B54,1,10)</f>
        <v>24/09/21</v>
      </c>
      <c r="C33">
        <f>+VLOOKUP(D33,DepMaster!$B:$C,2,FALSE)</f>
        <v>732</v>
      </c>
      <c r="D33" t="str">
        <f>+Hoja2!C54</f>
        <v>Secretaría de Seguridad y Convivencia</v>
      </c>
      <c r="E33" s="12" t="str">
        <f>+MID(Hoja2!F54,1,2)</f>
        <v>60</v>
      </c>
      <c r="F33" t="str">
        <f>+MID(Hoja2!F54,4,20)</f>
        <v>SAN CRISTOBAL</v>
      </c>
      <c r="G33" t="str">
        <f>+Hoja2!G54</f>
        <v xml:space="preserve">-	El 15 de septiembre, en el Parque Biblioteca Fernando Botero, se llevó a cabo una actividad pedagógica enmarcada en la estrategia Respeto Por la Vida, en la que se articularon la Secretaría de las Mujeres y la Promotora de Gobierno Local de la Unidad de Convivencia, con el fin de prevenir la violencia contra las mujeres y promover su respeto.
-	El 16 de septiembre en la vereda Travesías del sector Palenque, en articulación con la Secretaría de Salud y la Policía Nacional de Prevención y Educación Ciudadana, se realizó jornada pedagógica en la que se invitó a los habitantes del sector a ser responsable en la tenencia de sus mascotas, promoviendo la sana convivencia, el respeto a la norma y el cuidado de los espacios públicos. 
</v>
      </c>
      <c r="H33" t="str">
        <f>+Hoja2!H54</f>
        <v xml:space="preserve">-	El 15 de septiembre, en el Parque Biblioteca Fernando Botero, se llevó a cabo una actividad pedagógica enmarcada en la estrategia Respeto Por la Vida, en la que se articularon la Secretaría de las Mujeres y la Promotora de Gobierno Local de la Unidad de Convivencia, con el fin de prevenir la violencia contra las mujeres y promover su respeto. En esta actividad participaron 12 mujeres.
-	El 16 de septiembre en la vereda Travesías del sector Palenque, en articulación con la Secretaría de Salud y la Policía Nacional de Prevención y Educación Ciudadana, se realizó jornada pedagógica en la que se invitó a los habitantes del sector a ser responsable en la tenencia de sus mascotas, promoviendo la sana convivencia, el respeto a la norma y el cuidado de los espacios públicos. Se impactamos 72 personas. 
</v>
      </c>
    </row>
    <row r="34" spans="1:8" x14ac:dyDescent="0.2">
      <c r="A34">
        <f>+Hoja2!A55</f>
        <v>203023</v>
      </c>
      <c r="B34" s="10" t="str">
        <f>+MID(+Hoja2!B55,1,10)</f>
        <v>24/09/21</v>
      </c>
      <c r="C34">
        <f>+VLOOKUP(D34,DepMaster!$B:$C,2,FALSE)</f>
        <v>732</v>
      </c>
      <c r="D34" t="str">
        <f>+Hoja2!C55</f>
        <v>Secretaría de Seguridad y Convivencia</v>
      </c>
      <c r="E34" s="12" t="str">
        <f>+MID(Hoja2!F55,1,2)</f>
        <v>80</v>
      </c>
      <c r="F34" t="str">
        <f>+MID(Hoja2!F55,4,20)</f>
        <v>SAN ANTONIO DE PRADO</v>
      </c>
      <c r="G34" t="str">
        <f>+Hoja2!G55</f>
        <v>-	Se termina la etapa contractual con Metroparques  de los recursos de PL y PP 2.021. Inversión $2.604.762.199.</v>
      </c>
      <c r="H34">
        <f>+Hoja2!H55</f>
        <v>0</v>
      </c>
    </row>
    <row r="35" spans="1:8" x14ac:dyDescent="0.2">
      <c r="A35">
        <f>+Hoja2!A56</f>
        <v>203023</v>
      </c>
      <c r="B35" s="10" t="str">
        <f>+MID(+Hoja2!B56,1,10)</f>
        <v>24/09/21</v>
      </c>
      <c r="C35">
        <f>+VLOOKUP(D35,DepMaster!$B:$C,2,FALSE)</f>
        <v>732</v>
      </c>
      <c r="D35" t="str">
        <f>+Hoja2!C56</f>
        <v>Secretaría de Seguridad y Convivencia</v>
      </c>
      <c r="E35" s="12" t="str">
        <f>+MID(Hoja2!F56,1,2)</f>
        <v>90</v>
      </c>
      <c r="F35" t="str">
        <f>+MID(Hoja2!F56,4,20)</f>
        <v>SANTA ELENA</v>
      </c>
      <c r="G35" t="str">
        <f>+Hoja2!G56</f>
        <v>-	El 14 de septiembre en Institución Educativa Santa Elena, se realizó actividad pedagógica sobre el Código de Seguridad y Convivencia Ciudadana, Ley 1801 de 2016, con la estrategia de “concéntrese” y socialización sobre responsabilidad penal de niños, niñas y adolescentes. Se articularon la policía de infancia y adolescencia, el Gestor de Seguridad y el Promotor de Gobierno Local de la Unidad de Convivencia. Esta misma actividad se replicó el 15 de septiembre en la Institución Educativa de la vereda Mazo.</v>
      </c>
      <c r="H35" t="str">
        <f>+Hoja2!H56</f>
        <v xml:space="preserve">-	El 14 de septiembre en Institución Educativa Santa Elena, se realizó actividad pedagógica sobre el Código de Seguridad y Convivencia Ciudadana, Ley 1801 de 2016, con la estrategia de “concéntrese” y socialización sobre responsabilidad penal de niños, niñas y adolescentes. Se articularon la policía de infancia y adolescencia, el Gestor de Seguridad y el Promotor de Gobierno Local de la Unidad de Convivencia, con la participación de 120 jóvenes. Esta misma actividad se replicó el 15 de septiembre en la Institución Educativa de la vereda Mazo a 60 jóvenes.  </v>
      </c>
    </row>
    <row r="36" spans="1:8" x14ac:dyDescent="0.2">
      <c r="A36">
        <f>+Hoja2!A57</f>
        <v>203023</v>
      </c>
      <c r="B36" s="10" t="str">
        <f>+MID(+Hoja2!B57,1,10)</f>
        <v>24/09/21</v>
      </c>
      <c r="C36">
        <f>+VLOOKUP(D36,DepMaster!$B:$C,2,FALSE)</f>
        <v>711</v>
      </c>
      <c r="D36" t="str">
        <f>+Hoja2!C57</f>
        <v>Secretaría de Educación</v>
      </c>
      <c r="E36" s="12" t="str">
        <f>+MID(Hoja2!F57,1,2)</f>
        <v>09</v>
      </c>
      <c r="F36" t="str">
        <f>+MID(Hoja2!F57,4,20)</f>
        <v>BUENOS AIRES</v>
      </c>
      <c r="G36" t="str">
        <f>+Hoja2!G57</f>
        <v xml:space="preserve">Entorno Escolar Protector
Durante esta semana desde el Programa Entorno Escolar Protector, se realizaron las siguientes acciones:
Llamadas para verificación del estado socioemocional de las familias y los estudiantes: 332
Visitas para identificación de algún riesgo psicosocial: 46
Adicionalmente, se realizaron las siguientes atenciones, llamadas y visitas domiciliarias a las comunidades educativas (estudiantes, docentes, directivos docentes y familias), en las 16 comunas y los 5 corregimientos de la ciudad de Medellín.
Comuna 1: 99
Comuna 2: 70
Comuna 3: 94
Comuna 4: 84
Comuna 5: 66
Comuna 6: 53
Comuna 7: 125
Comuna 8: 79
Comuna 9: 58
Comuna 10: 10
Comuna 11: 32
Comuna 12: 31
Comuna 13: 82
Comuna 14: 16
Comuna 15: 22
Comuna 16: 103
Comuna 60: 32
Comuna 70: 27
Comuna 80: 89
Comuna 90: 8
Asimismo, se realizaron  1779 acciones encaminadas a los procesos transversales del programa: asesoría y asistencia técnica, formación, movilización, gestión y articulación, dirigido a la comunidad educativas y  atenciones psicosociales. </v>
      </c>
      <c r="H36" t="str">
        <f>+Hoja2!H57</f>
        <v xml:space="preserve">Entorno Escolar Protector
Durante esta semana desde el Programa Entorno Escolar Protector, se realizaron las siguientes acciones:
Llamadas para verificación del estado socioemocional de las familias y los estudiantes: 332
Visitas para identificación de algún riesgo psicosocial: 46
Adicionalmente, se realizaron las siguientes atenciones, llamadas y visitas domiciliarias a las comunidades educativas (estudiantes, docentes, directivos docentes y familias), en las 16 comunas y los 5 corregimientos de la ciudad de Medellín.
Comuna 1: 99
Comuna 2: 70
Comuna 3: 94
Comuna 4: 84
Comuna 5: 66
Comuna 6: 53
Comuna 7: 125
Comuna 8: 79
Comuna 9: 58
Comuna 10: 10
Comuna 11: 32
Comuna 12: 31
Comuna 13: 82
Comuna 14: 16
Comuna 15: 22
Comuna 16: 103
Comuna 60: 32
Comuna 70: 27
Comuna 80: 89
Comuna 90: 8
Asimismo, se realizaron  1779 acciones encaminadas a los procesos transversales del programa: asesoría y asistencia técnica, formación, movilización, gestión y articulación, dirigido a la comunidad educativas y  atenciones psicosociales. </v>
      </c>
    </row>
    <row r="37" spans="1:8" x14ac:dyDescent="0.2">
      <c r="A37">
        <f>+Hoja2!A58</f>
        <v>203023</v>
      </c>
      <c r="B37" s="10" t="str">
        <f>+MID(+Hoja2!B58,1,10)</f>
        <v>24/09/21</v>
      </c>
      <c r="C37">
        <f>+VLOOKUP(D37,DepMaster!$B:$C,2,FALSE)</f>
        <v>711</v>
      </c>
      <c r="D37" t="str">
        <f>+Hoja2!C58</f>
        <v>Secretaría de Educación</v>
      </c>
      <c r="E37" s="12" t="str">
        <f>+MID(Hoja2!F58,1,2)</f>
        <v>05</v>
      </c>
      <c r="F37" t="str">
        <f>+MID(Hoja2!F58,4,20)</f>
        <v>CASTILLA</v>
      </c>
      <c r="G37" t="str">
        <f>+Hoja2!G58</f>
        <v>Mova
Visita a la IE Héctor Abad Gómez - comuna 10. 15 de septiembre de 2021. Impactando 64 docentes y 4 directivos docentes de la I.E.
Cátedra académica con la IE Sol de Oriente  - 16 de septiembre de 2021. Impactando 82 docentes y 5 directivos docentes de la I.E.
Visita a la IE Lusitania Paz de Colombia  - comuna 60. 17 de septiembre de 2021. Impactando 70 docentes y 4 directivos docentes de la I.E.</v>
      </c>
      <c r="H37" t="str">
        <f>+Hoja2!H58</f>
        <v>Mova
Visita a la IE Héctor Abad Gómez - comuna 10. 15 de septiembre de 2021. Impactando 64 docentes y 4 directivos docentes de la I.E.
Cátedra académica con la IE Sol de Oriente  - 16 de septiembre de 2021. Impactando 82 docentes y 5 directivos docentes de la I.E.
Visita a la IE Lusitania Paz de Colombia  - comuna 60. 17 de septiembre de 2021. Impactando 70 docentes y 4 directivos docentes de la I.E.</v>
      </c>
    </row>
    <row r="38" spans="1:8" x14ac:dyDescent="0.2">
      <c r="A38">
        <f>+Hoja2!A59</f>
        <v>203023</v>
      </c>
      <c r="B38" s="10" t="str">
        <f>+MID(+Hoja2!B59,1,10)</f>
        <v>24/09/21</v>
      </c>
      <c r="C38">
        <f>+VLOOKUP(D38,DepMaster!$B:$C,2,FALSE)</f>
        <v>711</v>
      </c>
      <c r="D38" t="str">
        <f>+Hoja2!C59</f>
        <v>Secretaría de Educación</v>
      </c>
      <c r="E38" s="12" t="str">
        <f>+MID(Hoja2!F59,1,2)</f>
        <v>07</v>
      </c>
      <c r="F38" t="str">
        <f>+MID(Hoja2!F59,4,20)</f>
        <v>ROBLEDO</v>
      </c>
      <c r="G38" t="str">
        <f>+Hoja2!G59</f>
        <v>Transformación Curricular
Estas son las comunas (16), instituciones educativas (36 I.E), Centros Educativos (1 C.E), con asesorías y asistencias técnicas (AAT= 44), en el marco del cumplimioento de la meta del indicador del PDM 2020-2023 Medellín Futuro: I.E Oficiales acompañadas para la adecuación de su modelo curricular en la 4ta Revolución Industrial:
Semana del 13 al 17 de septiembre 2021:
Comuna 1: 4 I.E
Comuna 2: 4 I.E 
Comuna 3: 1 I.E
Comuna 4: 2 I.E
Comunas 5:1 I.E
Comuna 6: 1 I.E 
Comuna 7: 3 I.E 
Comuna 8: 3 I.E
Comuna 9: 4 I.E 
Comuna 10: 2 I.E
Comuna 11: 2 I.E
Comuna 12: 4 I.E
Comuna 13: 1 I.E 
Comuna 16: 2 I.E 
Comuna 60: 1C.E
Comuna 80: 2 I.E</v>
      </c>
      <c r="H38" t="str">
        <f>+Hoja2!H59</f>
        <v>Transformación Curricular
Estas son las comunas (16), instituciones educativas (36 I.E), Centros Educativos (1 C.E), con asesorías y asistencias técnicas (AAT= 44), en el marco del cumplimioento de la meta del indicador del PDM 2020-2023 Medellín Futuro: I.E Oficiales acompañadas para la adecuación de su modelo curricular en la 4ta Revolución Industrial:
Semana del 13 al 17 de septiembre 2021:
Comuna 1: 4 I.E
Comuna 2: 4 I.E 
Comuna 3: 1 I.E
Comuna 4: 2 I.E
Comunas 5:1 I.E
Comuna 6: 1 I.E 
Comuna 7: 3 I.E 
Comuna 8: 3 I.E
Comuna 9: 4 I.E 
Comuna 10: 2 I.E
Comuna 11: 2 I.E
Comuna 12: 4 I.E
Comuna 13: 1 I.E 
Comuna 16: 2 I.E 
Comuna 60: 1C.E
Comuna 80: 2 I.E</v>
      </c>
    </row>
    <row r="39" spans="1:8" x14ac:dyDescent="0.2">
      <c r="A39">
        <f>+Hoja2!A60</f>
        <v>203023</v>
      </c>
      <c r="B39" s="10" t="str">
        <f>+MID(+Hoja2!B60,1,10)</f>
        <v>24/09/21</v>
      </c>
      <c r="C39">
        <f>+VLOOKUP(D39,DepMaster!$B:$C,2,FALSE)</f>
        <v>711</v>
      </c>
      <c r="D39" t="str">
        <f>+Hoja2!C60</f>
        <v>Secretaría de Educación</v>
      </c>
      <c r="E39" s="12" t="str">
        <f>+MID(Hoja2!F60,1,2)</f>
        <v>09</v>
      </c>
      <c r="F39" t="str">
        <f>+MID(Hoja2!F60,4,20)</f>
        <v>BUENOS AIRES</v>
      </c>
      <c r="G39" t="str">
        <f>+Hoja2!G60</f>
        <v xml:space="preserve"> Acceso                                                                                   Participación en feria de servicios programadas por la Personería en las comunas 2, 9, y 16, teniendo como logro mas significativo, informar a la comunidad sobre la oferta educativa y las rutas de acceso al sistema educativo.
En el evento de "Conéctate con la IE Octavio Harry" el propósito fue motivar  la reflexión en toda la comunidad educativa respecto a la permanencia escolar.</v>
      </c>
      <c r="H39" t="str">
        <f>+Hoja2!H60</f>
        <v xml:space="preserve"> Acceso                                                                                   Participación en feria de servicios programadas por la Personería en las comunas 2, 9, y 16, teniendo como logro mas significativo, informar a la comunidad sobre la oferta educativa y las rutas de acceso al sistema educativo.
En el evento de "Conéctate con la IE Octavio Harry" el propósito fue motivar  la reflexión en toda la comunidad educativa respecto a la permanencia escolar.</v>
      </c>
    </row>
    <row r="40" spans="1:8" x14ac:dyDescent="0.2">
      <c r="A40">
        <f>+Hoja2!A61</f>
        <v>203023</v>
      </c>
      <c r="B40" s="10" t="str">
        <f>+MID(+Hoja2!B61,1,10)</f>
        <v>24/09/21</v>
      </c>
      <c r="C40">
        <f>+VLOOKUP(D40,DepMaster!$B:$C,2,FALSE)</f>
        <v>703</v>
      </c>
      <c r="D40" t="str">
        <f>+Hoja2!C61</f>
        <v>Secretaría de Evaluación y Control</v>
      </c>
      <c r="E40" s="12" t="str">
        <f>+MID(Hoja2!F61,1,2)</f>
        <v>01</v>
      </c>
      <c r="F40" t="str">
        <f>+MID(Hoja2!F61,4,20)</f>
        <v>POPULAR</v>
      </c>
      <c r="G40" t="str">
        <f>+Hoja2!G61</f>
        <v>-</v>
      </c>
      <c r="H40" t="str">
        <f>+Hoja2!H61</f>
        <v>-</v>
      </c>
    </row>
    <row r="41" spans="1:8" x14ac:dyDescent="0.2">
      <c r="A41">
        <f>+Hoja2!A62</f>
        <v>203023</v>
      </c>
      <c r="B41" s="10" t="str">
        <f>+MID(+Hoja2!B62,1,10)</f>
        <v>24/09/21</v>
      </c>
      <c r="C41">
        <f>+VLOOKUP(D41,DepMaster!$B:$C,2,FALSE)</f>
        <v>732</v>
      </c>
      <c r="D41" t="str">
        <f>+Hoja2!C62</f>
        <v>Secretaría de Seguridad y Convivencia</v>
      </c>
      <c r="E41" s="12" t="str">
        <f>+MID(Hoja2!F62,1,2)</f>
        <v>01</v>
      </c>
      <c r="F41" t="str">
        <f>+MID(Hoja2!F62,4,20)</f>
        <v>POPULAR</v>
      </c>
      <c r="G41" t="str">
        <f>+Hoja2!G62</f>
        <v>N/A</v>
      </c>
      <c r="H41" t="str">
        <f>+Hoja2!H62</f>
        <v>N/A</v>
      </c>
    </row>
    <row r="42" spans="1:8" x14ac:dyDescent="0.2">
      <c r="A42">
        <f>+Hoja2!A63</f>
        <v>203023</v>
      </c>
      <c r="B42" s="10" t="str">
        <f>+MID(+Hoja2!B63,1,10)</f>
        <v>24/09/21</v>
      </c>
      <c r="C42">
        <f>+VLOOKUP(D42,DepMaster!$B:$C,2,FALSE)</f>
        <v>732</v>
      </c>
      <c r="D42" t="str">
        <f>+Hoja2!C63</f>
        <v>Secretaría de Seguridad y Convivencia</v>
      </c>
      <c r="E42" s="12" t="str">
        <f>+MID(Hoja2!F63,1,2)</f>
        <v>02</v>
      </c>
      <c r="F42" t="str">
        <f>+MID(Hoja2!F63,4,20)</f>
        <v>SANTA CRUZ</v>
      </c>
      <c r="G42" t="str">
        <f>+Hoja2!G63</f>
        <v xml:space="preserve">Equipo Casas de Justicia:
Comuna 2: El día sábado 18 de septiembre se realizó acompañamiento a la feria de servicios realizada en el coliseo contiguo a la Casa de Justicia Villa del Socorro por la Secretaria de Inclusión Social, en conjunto con el programa Buen Comienzo, INDER, Secretaria de Salud, Policía Nacional, favoreciéndose a 90 personas. 
Unidad de Convivencia:
Comuna 2: el 16 de septiembre en la casa de justicia del barrio Villa del Socorro se realizó socialización del Código Nacional de Seguridad y Convivencia en el marco de la feria de servicios, haciendo un llamado al cumplimiento de la norma y el compromiso ciudadano para la construcción de la convivencia. Se impactaron  60 personas.
Enlace presupuesto participativo:
•	Comuna 2: Se avanza en la etapa contractual con Metroparques  de los recursos de PL y PP 2.021. Inversión $2.604.762.199. 
</v>
      </c>
      <c r="H42" t="str">
        <f>+Hoja2!H63</f>
        <v xml:space="preserve">Equipo Casas de Justicia:
Se impactaron 90 personas. 
Unidad de Convivencia:
Se impactaron 60 personas.
Enlace presupuesto participativo:
Comuna 2:  Inversión $2.604.762.199. </v>
      </c>
    </row>
    <row r="43" spans="1:8" x14ac:dyDescent="0.2">
      <c r="A43">
        <f>+Hoja2!A64</f>
        <v>203023</v>
      </c>
      <c r="B43" s="10" t="str">
        <f>+MID(+Hoja2!B64,1,10)</f>
        <v>24/09/21</v>
      </c>
      <c r="C43">
        <f>+VLOOKUP(D43,DepMaster!$B:$C,2,FALSE)</f>
        <v>732</v>
      </c>
      <c r="D43" t="str">
        <f>+Hoja2!C64</f>
        <v>Secretaría de Seguridad y Convivencia</v>
      </c>
      <c r="E43" s="12" t="str">
        <f>+MID(Hoja2!F64,1,2)</f>
        <v>03</v>
      </c>
      <c r="F43" t="str">
        <f>+MID(Hoja2!F64,4,20)</f>
        <v>MANRIQUE</v>
      </c>
      <c r="G43" t="str">
        <f>+Hoja2!G64</f>
        <v xml:space="preserve">Unidad de Convivencia:
Comuna 3: el 17 de septiembre en articulación con el Sistema de Prevención, Convivencia y Seguridad Ciudadana de la Policía, la JAL, la Secretaría de Seguridad y Convivencia y Líderes del sector, se realizó en el barrio Raizal la sensibilización del Código Nacional de Seguridad y Convivencia Ciudadana y la celebración del amor y la amistad. Lo anterior en el Marco de las acciones del plan especial de la comuna, con el fin de modificar los comportamientos contrarios a la convivencia en el sector. Participaron 110 personas.
Comuna 3: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pedagogía con el ingeniero de sonido del programa. Se visitan 3 establecimientos de comercio.
</v>
      </c>
      <c r="H43" t="str">
        <f>+Hoja2!H64</f>
        <v>Unidad de Convivencia: 
Se impactaron 110 personas.
Programa Convive la Noche:
Se visitan 3 establecimientos de comercio.</v>
      </c>
    </row>
    <row r="44" spans="1:8" x14ac:dyDescent="0.2">
      <c r="A44">
        <f>+Hoja2!A65</f>
        <v>203023</v>
      </c>
      <c r="B44" s="10" t="str">
        <f>+MID(+Hoja2!B65,1,10)</f>
        <v>24/09/21</v>
      </c>
      <c r="C44">
        <f>+VLOOKUP(D44,DepMaster!$B:$C,2,FALSE)</f>
        <v>732</v>
      </c>
      <c r="D44" t="str">
        <f>+Hoja2!C65</f>
        <v>Secretaría de Seguridad y Convivencia</v>
      </c>
      <c r="E44" s="12" t="str">
        <f>+MID(Hoja2!F65,1,2)</f>
        <v>04</v>
      </c>
      <c r="F44" t="str">
        <f>+MID(Hoja2!F65,4,20)</f>
        <v>ARANJUEZ</v>
      </c>
      <c r="G44" t="str">
        <f>+Hoja2!G65</f>
        <v>Equipo Casas de Justicia:
Comuna 4: Igualmente, se realizaron 5 jornadas de Promoción de Rutas de Atención y Mecanismos de Defensa de los DD. HH y la Convivencia, durante la semana del 13 al 17 de septiembre, de 9:00 am a 3:00 pm, en mesas de atención ubicadas al lado de la puerta de acceso principal de la Casa de Justicia El Bosque, atendiéndose a 259 personas.
Programa Convive la Noche:
Comuna  4: el 17 de septiembre, el equipo del programa Medellín Convive la Noche visitó establecimientos con actividad económica "venta y consumo de licor” que buscan ingresar al programa. En estas visitas se sensibilizaron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realizan mediciones de ruido de forma pedagogía con el ingeniero de sonido del programa. Se visitan 3 establecimientos de comercio.</v>
      </c>
      <c r="H44" t="str">
        <f>+Hoja2!H65</f>
        <v xml:space="preserve">Equipo casas de Justicia:
Personas impactadas 259
Programa Convive la Noche:
Se visitan 3 establecimientos de comercio.
</v>
      </c>
    </row>
    <row r="45" spans="1:8" x14ac:dyDescent="0.2">
      <c r="A45">
        <f>+Hoja2!A66</f>
        <v>203023</v>
      </c>
      <c r="B45" s="10" t="str">
        <f>+MID(+Hoja2!B66,1,10)</f>
        <v>24/09/21</v>
      </c>
      <c r="C45">
        <f>+VLOOKUP(D45,DepMaster!$B:$C,2,FALSE)</f>
        <v>732</v>
      </c>
      <c r="D45" t="str">
        <f>+Hoja2!C66</f>
        <v>Secretaría de Seguridad y Convivencia</v>
      </c>
      <c r="E45" s="12" t="str">
        <f>+MID(Hoja2!F66,1,2)</f>
        <v>13</v>
      </c>
      <c r="F45" t="str">
        <f>+MID(Hoja2!F66,4,20)</f>
        <v>SAN JAVIER</v>
      </c>
      <c r="G45" t="str">
        <f>+Hoja2!G66</f>
        <v xml:space="preserve">Unidad de Inspecciones de Policía
Comuna 13: La jornada de descongestión que se viene desarrollando en la Inspección 13 de Policía ha dado los siguientes resultados 
A 15 de septiembre de 2021 se han evacuado 276 procesos de 2014-2019 logrando una descongestión del 40.3%.
Equipo Casas de Justicia:
Comuna 13: El 17 de septiembre, en articulación con los funcionarios del Centro Integrado de Intervención, de 10:00 a.m., a 12:00 m,, se realizó actividad de prevención y promoción sobre los tipos de maltrato, para indicar las rutas de atención y generar conciencia sobre el respeto por los derechos en diversos sectores de la comuna 13, impactándose positivamente a 70 personas. 
</v>
      </c>
      <c r="H45">
        <f>+Hoja2!H66</f>
        <v>0</v>
      </c>
    </row>
    <row r="46" spans="1:8" x14ac:dyDescent="0.2">
      <c r="A46">
        <f>+Hoja2!A67</f>
        <v>203023</v>
      </c>
      <c r="B46" s="10" t="str">
        <f>+MID(+Hoja2!B67,1,10)</f>
        <v>24/09/21</v>
      </c>
      <c r="C46">
        <f>+VLOOKUP(D46,DepMaster!$B:$C,2,FALSE)</f>
        <v>724</v>
      </c>
      <c r="D46" t="str">
        <f>+Hoja2!C67</f>
        <v>Secretaría de la Juventud</v>
      </c>
      <c r="E46" s="12" t="str">
        <f>+MID(Hoja2!F67,1,2)</f>
        <v>04</v>
      </c>
      <c r="F46" t="str">
        <f>+MID(Hoja2!F67,4,20)</f>
        <v>ARANJUEZ</v>
      </c>
      <c r="G46" t="str">
        <f>+Hoja2!G67</f>
        <v>22 de septiembre: FORTALECIMIENTO DE LA PARTICIPACIÓN Y LAS DINÁMICAS JUVENILES</v>
      </c>
      <c r="H46" t="str">
        <f>+Hoja2!H67</f>
        <v>Se espera contar con la participación de 30 jóvenes.</v>
      </c>
    </row>
    <row r="47" spans="1:8" x14ac:dyDescent="0.2">
      <c r="A47">
        <f>+Hoja2!A68</f>
        <v>203023</v>
      </c>
      <c r="B47" s="10" t="str">
        <f>+MID(+Hoja2!B68,1,10)</f>
        <v>24/09/21</v>
      </c>
      <c r="C47">
        <f>+VLOOKUP(D47,DepMaster!$B:$C,2,FALSE)</f>
        <v>724</v>
      </c>
      <c r="D47" t="str">
        <f>+Hoja2!C68</f>
        <v>Secretaría de la Juventud</v>
      </c>
      <c r="E47" s="12" t="str">
        <f>+MID(Hoja2!F68,1,2)</f>
        <v>13</v>
      </c>
      <c r="F47" t="str">
        <f>+MID(Hoja2!F68,4,20)</f>
        <v>SAN JAVIER</v>
      </c>
      <c r="G47" t="str">
        <f>+Hoja2!G68</f>
        <v>22 de septiembre: FORTALECIMIENTO DE LA PARTICIPACIÓN Y LAS DINÁMICAS JUVENILES</v>
      </c>
      <c r="H47" t="str">
        <f>+Hoja2!H68</f>
        <v>Se espera contar con la participación de 50 jóvenes</v>
      </c>
    </row>
    <row r="48" spans="1:8" x14ac:dyDescent="0.2">
      <c r="A48">
        <f>+Hoja2!A69</f>
        <v>203023</v>
      </c>
      <c r="B48" s="10" t="str">
        <f>+MID(+Hoja2!B69,1,10)</f>
        <v>24/09/21</v>
      </c>
      <c r="C48">
        <f>+VLOOKUP(D48,DepMaster!$B:$C,2,FALSE)</f>
        <v>724</v>
      </c>
      <c r="D48" t="str">
        <f>+Hoja2!C69</f>
        <v>Secretaría de la Juventud</v>
      </c>
      <c r="E48" s="12" t="str">
        <f>+MID(Hoja2!F69,1,2)</f>
        <v>08</v>
      </c>
      <c r="F48" t="str">
        <f>+MID(Hoja2!F69,4,20)</f>
        <v>VILLA HERMOSA</v>
      </c>
      <c r="G48" t="str">
        <f>+Hoja2!G69</f>
        <v>20 de septiembre: Acompañamos al centro de desarrollo zonal de la comuna 8 en la microferia llevada a cabo en la I.E. Juan de la cruz posada en articulación con Medellín joven c8</v>
      </c>
      <c r="H48" t="str">
        <f>+Hoja2!H69</f>
        <v>Se contó con la participación de 15 jóvenes.</v>
      </c>
    </row>
    <row r="49" spans="1:8" x14ac:dyDescent="0.2">
      <c r="A49">
        <f>+Hoja2!A70</f>
        <v>203023</v>
      </c>
      <c r="B49" s="10" t="str">
        <f>+MID(+Hoja2!B70,1,10)</f>
        <v>24/09/21</v>
      </c>
      <c r="C49">
        <f>+VLOOKUP(D49,DepMaster!$B:$C,2,FALSE)</f>
        <v>724</v>
      </c>
      <c r="D49" t="str">
        <f>+Hoja2!C70</f>
        <v>Secretaría de la Juventud</v>
      </c>
      <c r="E49" s="12" t="str">
        <f>+MID(Hoja2!F70,1,2)</f>
        <v>06</v>
      </c>
      <c r="F49" t="str">
        <f>+MID(Hoja2!F70,4,20)</f>
        <v>DOCE DE OCTUBRE</v>
      </c>
      <c r="G49" t="str">
        <f>+Hoja2!G70</f>
        <v>20 de septiembre: Taller Laboratorio Antifragilidad (JVS)		"</v>
      </c>
      <c r="H49" t="str">
        <f>+Hoja2!H70</f>
        <v>Contamos con la participación de 40 jóvenes.</v>
      </c>
    </row>
    <row r="50" spans="1:8" x14ac:dyDescent="0.2">
      <c r="A50">
        <f>+Hoja2!A71</f>
        <v>203023</v>
      </c>
      <c r="B50" s="10" t="str">
        <f>+MID(+Hoja2!B71,1,10)</f>
        <v>24/09/21</v>
      </c>
      <c r="C50">
        <f>+VLOOKUP(D50,DepMaster!$B:$C,2,FALSE)</f>
        <v>751</v>
      </c>
      <c r="D50" t="str">
        <f>+Hoja2!C71</f>
        <v>Secretaría de Desarrollo Económico</v>
      </c>
      <c r="E50" s="12" t="str">
        <f>+MID(Hoja2!F71,1,2)</f>
        <v>16</v>
      </c>
      <c r="F50" t="str">
        <f>+MID(Hoja2!F71,4,20)</f>
        <v>BELEN</v>
      </c>
      <c r="G50" t="str">
        <f>+Hoja2!G71</f>
        <v>Hubo reunión de acercamiento con los comerciantes de la comuna 16 (Belén), donde se le dio a conocer el portafolio de servicios del Banco de las Oportunidades y la Red de Apoyo Financiero-RAF, para que tengas más opciones de fortalecimiento de sus negocios.</v>
      </c>
      <c r="H50" t="str">
        <f>+Hoja2!H71</f>
        <v>sin cifras</v>
      </c>
    </row>
    <row r="51" spans="1:8" x14ac:dyDescent="0.2">
      <c r="A51">
        <f>+Hoja2!A72</f>
        <v>203023</v>
      </c>
      <c r="B51" s="10" t="str">
        <f>+MID(+Hoja2!B72,1,10)</f>
        <v>24/09/21</v>
      </c>
      <c r="C51">
        <f>+VLOOKUP(D51,DepMaster!$B:$C,2,FALSE)</f>
        <v>751</v>
      </c>
      <c r="D51" t="str">
        <f>+Hoja2!C72</f>
        <v>Secretaría de Desarrollo Económico</v>
      </c>
      <c r="E51" s="12" t="str">
        <f>+MID(Hoja2!F72,1,2)</f>
        <v>07</v>
      </c>
      <c r="F51" t="str">
        <f>+MID(Hoja2!F72,4,20)</f>
        <v>ROBLEDO</v>
      </c>
      <c r="G51" t="str">
        <f>+Hoja2!G72</f>
        <v>Continuando con la reactivación económica en las comunas, este 24 de septiembre estaremos con la Casa Móvil de Justicia de Robledo, llevando toda la oferta de nuestra Secretaría “Desarrollo Económico” a dicha comunidad.</v>
      </c>
      <c r="H51" t="str">
        <f>+Hoja2!H72</f>
        <v>sin cifras</v>
      </c>
    </row>
    <row r="52" spans="1:8" x14ac:dyDescent="0.2">
      <c r="A52">
        <f>+Hoja2!A73</f>
        <v>203023</v>
      </c>
      <c r="B52" s="10" t="str">
        <f>+MID(+Hoja2!B73,1,10)</f>
        <v>24/09/21</v>
      </c>
      <c r="C52">
        <f>+VLOOKUP(D52,DepMaster!$B:$C,2,FALSE)</f>
        <v>751</v>
      </c>
      <c r="D52" t="str">
        <f>+Hoja2!C73</f>
        <v>Secretaría de Desarrollo Económico</v>
      </c>
      <c r="E52" s="12" t="str">
        <f>+MID(Hoja2!F73,1,2)</f>
        <v>16</v>
      </c>
      <c r="F52" t="str">
        <f>+MID(Hoja2!F73,4,20)</f>
        <v>BELEN</v>
      </c>
      <c r="G52" t="str">
        <f>+Hoja2!G73</f>
        <v>Se realiza logística para la tercera micro feria territorial de empleo dirigida a los habitantes de las comunas 14,15, 16 y 70 el día 23 de septiembre, en donde se ofrecerán todos los servicios de la Oficina Pública de Empleo (registro y actualización de hoja de vida; postulación a vacantes; preentrevistas con las empresas asistentes y asesorías individuales). El evento se llevará a cabo en la Unidad Deportiva de Belén, Andrés Escobar Saldarriaga, de 09:00 a.m. a 04:00 p.m.</v>
      </c>
      <c r="H52" t="str">
        <f>+Hoja2!H73</f>
        <v>sin cifras</v>
      </c>
    </row>
    <row r="53" spans="1:8" x14ac:dyDescent="0.2">
      <c r="A53">
        <f>+Hoja2!A74</f>
        <v>203023</v>
      </c>
      <c r="B53" s="10" t="str">
        <f>+MID(+Hoja2!B74,1,10)</f>
        <v>24/09/21</v>
      </c>
      <c r="C53">
        <f>+VLOOKUP(D53,DepMaster!$B:$C,2,FALSE)</f>
        <v>751</v>
      </c>
      <c r="D53" t="str">
        <f>+Hoja2!C74</f>
        <v>Secretaría de Desarrollo Económico</v>
      </c>
      <c r="E53" s="12" t="str">
        <f>+MID(Hoja2!F74,1,2)</f>
        <v>11</v>
      </c>
      <c r="F53" t="str">
        <f>+MID(Hoja2!F74,4,20)</f>
        <v>LAURELES</v>
      </c>
      <c r="G53" t="str">
        <f>+Hoja2!G74</f>
        <v>Se tuvo la participación de 20 emprendedores en el evento del programa “Compra Hecho en Medellín” en el Bazar de la Avenida El Jardín, donde se realizaron ventas por más de 9 millones de pesos e impactamos la comuna 11, donde se desarrolló la actividad; y desde los emprendedores las comunas 4, 7, 11, 12, 14, 15, 16 y el corregimiento de San Cristóbal.</v>
      </c>
      <c r="H53" t="str">
        <f>+Hoja2!H74</f>
        <v>sin cifras</v>
      </c>
    </row>
    <row r="54" spans="1:8" x14ac:dyDescent="0.2">
      <c r="A54">
        <f>+Hoja2!A75</f>
        <v>203023</v>
      </c>
      <c r="B54" s="10" t="str">
        <f>+MID(+Hoja2!B75,1,10)</f>
        <v>24/09/21</v>
      </c>
      <c r="C54">
        <f>+VLOOKUP(D54,DepMaster!$B:$C,2,FALSE)</f>
        <v>751</v>
      </c>
      <c r="D54" t="str">
        <f>+Hoja2!C75</f>
        <v>Secretaría de Desarrollo Económico</v>
      </c>
      <c r="E54" s="12" t="str">
        <f>+MID(Hoja2!F75,1,2)</f>
        <v>02</v>
      </c>
      <c r="F54" t="str">
        <f>+MID(Hoja2!F75,4,20)</f>
        <v>SANTA CRUZ</v>
      </c>
      <c r="G54" t="str">
        <f>+Hoja2!G75</f>
        <v>EL 23 de septiembre se tiene programado taller proyección socio laboral, capacitación socio vocacional, ofreciendo todos los servicios por la Oficina Pública de Empleo. En el barrio Sinaí (Comuna 2), de 10 a 12 m., se espera la participación de 37 ciudadanos.</v>
      </c>
      <c r="H54" t="str">
        <f>+Hoja2!H75</f>
        <v>sin cifras</v>
      </c>
    </row>
    <row r="55" spans="1:8" x14ac:dyDescent="0.2">
      <c r="A55">
        <f>+Hoja2!A76</f>
        <v>203023</v>
      </c>
      <c r="B55" s="10" t="str">
        <f>+MID(+Hoja2!B76,1,10)</f>
        <v>24/09/21</v>
      </c>
      <c r="C55">
        <f>+VLOOKUP(D55,DepMaster!$B:$C,2,FALSE)</f>
        <v>751</v>
      </c>
      <c r="D55" t="str">
        <f>+Hoja2!C76</f>
        <v>Secretaría de Desarrollo Económico</v>
      </c>
      <c r="E55" s="12" t="str">
        <f>+MID(Hoja2!F76,1,2)</f>
        <v>13</v>
      </c>
      <c r="F55" t="str">
        <f>+MID(Hoja2!F76,4,20)</f>
        <v>SAN JAVIER</v>
      </c>
      <c r="G55" t="str">
        <f>+Hoja2!G76</f>
        <v>Recorrido de validación en la Comuna 13, durante la próxima semana apoyando la iniciativa de Turismo Comunitario que se viene acompañando en su proceso de fortalecimiento y formalización por la Subsecretaría de Turismo.</v>
      </c>
      <c r="H55" t="str">
        <f>+Hoja2!H76</f>
        <v>sin cifras</v>
      </c>
    </row>
    <row r="56" spans="1:8" x14ac:dyDescent="0.2">
      <c r="A56">
        <f>+Hoja2!A77</f>
        <v>203023</v>
      </c>
      <c r="B56" s="10" t="str">
        <f>+MID(+Hoja2!B77,1,10)</f>
        <v>24/09/21</v>
      </c>
      <c r="C56">
        <f>+VLOOKUP(D56,DepMaster!$B:$C,2,FALSE)</f>
        <v>751</v>
      </c>
      <c r="D56" t="str">
        <f>+Hoja2!C77</f>
        <v>Secretaría de Desarrollo Económico</v>
      </c>
      <c r="E56" s="12" t="str">
        <f>+MID(Hoja2!F77,1,2)</f>
        <v>16</v>
      </c>
      <c r="F56" t="str">
        <f>+MID(Hoja2!F77,4,20)</f>
        <v>BELEN</v>
      </c>
      <c r="G56" t="str">
        <f>+Hoja2!G77</f>
        <v xml:space="preserve">El día 26 de septiembre en el Centro Comercial Los Molinos (comuna 16) tendremos vitrina campesina de 10:00 am a 4:00 pm, con la presencia de 10 participantes, y de igual manera en este mismo día haremos presencia en el parque Tele Medellín, desde las 9:00 am a 5:00 pm, con la participación de 8 productores. </v>
      </c>
      <c r="H56">
        <f>+Hoja2!H77</f>
        <v>0</v>
      </c>
    </row>
    <row r="57" spans="1:8" x14ac:dyDescent="0.2">
      <c r="A57">
        <f>+Hoja2!A78</f>
        <v>203023</v>
      </c>
      <c r="B57" s="10" t="str">
        <f>+MID(+Hoja2!B78,1,10)</f>
        <v>24/09/21</v>
      </c>
      <c r="C57">
        <f>+VLOOKUP(D57,DepMaster!$B:$C,2,FALSE)</f>
        <v>751</v>
      </c>
      <c r="D57" t="str">
        <f>+Hoja2!C78</f>
        <v>Secretaría de Desarrollo Económico</v>
      </c>
      <c r="E57" s="12" t="str">
        <f>+MID(Hoja2!F78,1,2)</f>
        <v>14</v>
      </c>
      <c r="F57" t="str">
        <f>+MID(Hoja2!F78,4,20)</f>
        <v>EL POBLADO</v>
      </c>
      <c r="G57" t="str">
        <f>+Hoja2!G78</f>
        <v xml:space="preserve">El día 25 de septiembre tendremos vitrina campesina en el Country Club (Comuna 14), desde las 8:00 am hasta las 2:00 pm, contando con la presencia de 6 participantes productores. </v>
      </c>
      <c r="H57" t="str">
        <f>+Hoja2!H78</f>
        <v>sin cifras</v>
      </c>
    </row>
    <row r="58" spans="1:8" x14ac:dyDescent="0.2">
      <c r="A58">
        <f>+Hoja2!A79</f>
        <v>203023</v>
      </c>
      <c r="B58" s="10" t="str">
        <f>+MID(+Hoja2!B79,1,10)</f>
        <v>24/09/21</v>
      </c>
      <c r="C58">
        <f>+VLOOKUP(D58,DepMaster!$B:$C,2,FALSE)</f>
        <v>733</v>
      </c>
      <c r="D58" t="str">
        <f>+Hoja2!C79</f>
        <v>Departamento Administrativo de Gestión del Riesgo de Desastres</v>
      </c>
      <c r="E58" s="12" t="str">
        <f>+MID(Hoja2!F79,1,2)</f>
        <v>03</v>
      </c>
      <c r="F58" t="str">
        <f>+MID(Hoja2!F79,4,20)</f>
        <v>MANRIQUE</v>
      </c>
      <c r="G58" t="str">
        <f>+Hoja2!G79</f>
        <v>Se está realizando articulaciones con buen comienzo, con el fin de proporcionar talleres de interés para las niñas, niños, agentes educativos y padres de familia</v>
      </c>
      <c r="H58" t="str">
        <f>+Hoja2!H79</f>
        <v>Sin dato</v>
      </c>
    </row>
    <row r="59" spans="1:8" x14ac:dyDescent="0.2">
      <c r="A59">
        <f>+Hoja2!A80</f>
        <v>203023</v>
      </c>
      <c r="B59" s="10" t="str">
        <f>+MID(+Hoja2!B80,1,10)</f>
        <v>24/09/21</v>
      </c>
      <c r="C59">
        <f>+VLOOKUP(D59,DepMaster!$B:$C,2,FALSE)</f>
        <v>733</v>
      </c>
      <c r="D59" t="str">
        <f>+Hoja2!C80</f>
        <v>Departamento Administrativo de Gestión del Riesgo de Desastres</v>
      </c>
      <c r="E59" s="12" t="str">
        <f>+MID(Hoja2!F80,1,2)</f>
        <v>09</v>
      </c>
      <c r="F59" t="str">
        <f>+MID(Hoja2!F80,4,20)</f>
        <v>BUENOS AIRES</v>
      </c>
      <c r="G59" t="str">
        <f>+Hoja2!G80</f>
        <v>Estamos en proceso de suministrar información,  articuladamente con equipo técnico, SIATA, comunidad barrio de Jesús y equipo de gestión social. sobre lo relacionado a la instalación de alarma comunitaria en comuna 9 sector barrio de Jesús quebrada santa Elena.</v>
      </c>
      <c r="H59" t="str">
        <f>+Hoja2!H80</f>
        <v>Sin dato</v>
      </c>
    </row>
    <row r="60" spans="1:8" x14ac:dyDescent="0.2">
      <c r="A60">
        <f>+Hoja2!A81</f>
        <v>203023</v>
      </c>
      <c r="B60" s="10" t="str">
        <f>+MID(+Hoja2!B81,1,10)</f>
        <v>24/09/21</v>
      </c>
      <c r="C60">
        <f>+VLOOKUP(D60,DepMaster!$B:$C,2,FALSE)</f>
        <v>733</v>
      </c>
      <c r="D60" t="str">
        <f>+Hoja2!C81</f>
        <v>Departamento Administrativo de Gestión del Riesgo de Desastres</v>
      </c>
      <c r="E60" s="12" t="str">
        <f>+MID(Hoja2!F81,1,2)</f>
        <v>70</v>
      </c>
      <c r="F60" t="str">
        <f>+MID(Hoja2!F81,4,20)</f>
        <v>ALTAVISTA</v>
      </c>
      <c r="G60" t="str">
        <f>+Hoja2!G81</f>
        <v xml:space="preserve">Se realizara talleres, en institución educativa PACHAMAMA y se dará atencion a temas solicitados por el encargado del SG-SST de la institución en mención. 
</v>
      </c>
      <c r="H60">
        <f>+Hoja2!H81</f>
        <v>0</v>
      </c>
    </row>
    <row r="61" spans="1:8" x14ac:dyDescent="0.2">
      <c r="A61">
        <f>+Hoja2!A82</f>
        <v>203023</v>
      </c>
      <c r="B61" s="10" t="str">
        <f>+MID(+Hoja2!B82,1,10)</f>
        <v>24/09/21</v>
      </c>
      <c r="C61">
        <f>+VLOOKUP(D61,DepMaster!$B:$C,2,FALSE)</f>
        <v>743</v>
      </c>
      <c r="D61" t="str">
        <f>+Hoja2!C82</f>
        <v>Secretaría de Movilidad</v>
      </c>
      <c r="E61" s="12" t="str">
        <f>+MID(Hoja2!F82,1,2)</f>
        <v>10</v>
      </c>
      <c r="F61" t="str">
        <f>+MID(Hoja2!F82,4,20)</f>
        <v>LA CANDELARIA</v>
      </c>
      <c r="G61" t="str">
        <f>+Hoja2!G82</f>
        <v xml:space="preserve">Por cuarta vez, el indicador de oportunidad  de Servicio a la Ciudadanía respecto de la atención de las PQRS es del 100% para la Secretaría de Movilidad, lo que quiere decir que las 6.147 PQRS que ingresaron a la Secretaría fueron atendidas dentro de los términos legales. 	
Se realizaron las revisiones y ajustes finales a los flujos para automatización del proceso de contratación para iniciar con el desarrollo y aplicación. 	 
Se adelantó el ejercicio de consolidación de insumos para el informe de supervisión colegiada del Convenio Interadministrativo 5400000003 de 2006 con UNE TELECOMUNICACIONES S.A. del mes de agosto de 2021
Se firmó Acta de Inicio para los Contratos de Obra e Interventoría de Mantenimiento, Reposición y Ampliación de la Red Semafórica 2021.
Puesta en servicio de cruces importantes de la ciudad: Glorieta de Exposiciones y Glorieta Av El Ferrocarril con Calle 44 San Juan. Fueron selladas las cajas para evitar nuevos vandalismos.
La Secretaria de Movilidad a través de los Agentes de tránsito y en articulación con el área Metropolitana continúan con los controles a las  emisiones contaminantes a fuentes móviles, de los controles realizados se tienen los siguientes resultados del  13 al 19 de septiembre de 2021 : 859 Pruebas, de estas 101 comparendos y  6 inmovilizaciones.	 
Con las intervenciones en sectores de mayor riesgo de incidentalidad en la ciudad se logró durante esta semana intervenir un total de 5.384 personas, en lo que va del año la cifra es de 52.044 personas.	
Las sensibilizaciones realizadas en el Centro Comercial La Central permitieron llegar que muchas personas se familizarizaran con el enfoque de Visión Cero, durante la semana del 12 al 18 de septiembre se logró intervenir un total 2562 personas  para un total de 4.579 personas sensibilizadas desde el 9 de septiembre.
Presencia institucional en la comuna 4, 5 10, 11 y 14.	
Densificación de la red ciclista	
Se ejecuta como acción para consolidar la Zona Urbana de Aire Protegido, la apertura de un nuevo corredor peatonal en la calle Pichincha entre las Carreras 44 y 45.
</v>
      </c>
      <c r="H61" t="str">
        <f>+Hoja2!H82</f>
        <v>.</v>
      </c>
    </row>
    <row r="62" spans="1:8" x14ac:dyDescent="0.2">
      <c r="A62">
        <f>+Hoja2!A83</f>
        <v>203023</v>
      </c>
      <c r="B62" s="10" t="str">
        <f>+MID(+Hoja2!B83,1,10)</f>
        <v>24/09/21</v>
      </c>
      <c r="C62">
        <f>+VLOOKUP(D62,DepMaster!$B:$C,2,FALSE)</f>
        <v>706</v>
      </c>
      <c r="D62" t="str">
        <f>+Hoja2!C83</f>
        <v>Secretaría de Gestión Humana y Servicio a la Ciudadanía</v>
      </c>
      <c r="E62" s="12" t="str">
        <f>+MID(Hoja2!F83,1,2)</f>
        <v>06</v>
      </c>
      <c r="F62" t="str">
        <f>+MID(Hoja2!F83,4,20)</f>
        <v>DOCE DE OCTUBRE</v>
      </c>
      <c r="G62" t="str">
        <f>+Hoja2!G83</f>
        <v>1. Acercamiento con la ciudadanía, logrando descentralizar el servicios de SISBEN y orientación en temas generales del Municipio de Medellín,  evitando desplazamientos innecesarios de los ciudadanos y costos en pasajes.</v>
      </c>
      <c r="H62" t="str">
        <f>+Hoja2!H83</f>
        <v>Atención de 77 ciudadanos</v>
      </c>
    </row>
    <row r="63" spans="1:8" x14ac:dyDescent="0.2">
      <c r="A63">
        <f>+Hoja2!A84</f>
        <v>203023</v>
      </c>
      <c r="B63" s="10" t="str">
        <f>+MID(+Hoja2!B84,1,10)</f>
        <v>24/09/21</v>
      </c>
      <c r="C63">
        <f>+VLOOKUP(D63,DepMaster!$B:$C,2,FALSE)</f>
        <v>706</v>
      </c>
      <c r="D63" t="str">
        <f>+Hoja2!C84</f>
        <v>Secretaría de Gestión Humana y Servicio a la Ciudadanía</v>
      </c>
      <c r="E63" s="12" t="str">
        <f>+MID(Hoja2!F84,1,2)</f>
        <v>03</v>
      </c>
      <c r="F63" t="str">
        <f>+MID(Hoja2!F84,4,20)</f>
        <v>MANRIQUE</v>
      </c>
      <c r="G63" t="str">
        <f>+Hoja2!G84</f>
        <v>2. Acercamiento con la ciudadanía, logrando descentralizar el servicios de SISBEN y orientación en temas generales del Municipio de Medellín,  evitando desplazamientos innecesarios de los ciudadanos y costos en pasajes.</v>
      </c>
      <c r="H63" t="str">
        <f>+Hoja2!H84</f>
        <v>Atención de  51 ciudadanos</v>
      </c>
    </row>
    <row r="64" spans="1:8" x14ac:dyDescent="0.2">
      <c r="A64">
        <f>+Hoja2!A85</f>
        <v>203023</v>
      </c>
      <c r="B64" s="10" t="str">
        <f>+MID(+Hoja2!B85,1,10)</f>
        <v>24/09/21</v>
      </c>
      <c r="C64">
        <f>+VLOOKUP(D64,DepMaster!$B:$C,2,FALSE)</f>
        <v>956</v>
      </c>
      <c r="D64" t="str">
        <f>+Hoja2!C85</f>
        <v>Gerencia de Diversidades Sexuales e Identidades de Género</v>
      </c>
      <c r="E64" s="12" t="str">
        <f>+MID(Hoja2!F85,1,2)</f>
        <v>50</v>
      </c>
      <c r="F64" t="str">
        <f>+MID(Hoja2!F85,4,20)</f>
        <v>PALMITAS</v>
      </c>
      <c r="G64" t="str">
        <f>+Hoja2!G85</f>
        <v xml:space="preserve">Motivar población diversa para la conformación de mesas y colectivos, en alianza con las IE del corregimiento </v>
      </c>
      <c r="H64" t="str">
        <f>+Hoja2!H85</f>
        <v xml:space="preserve">15 personas participan en la Reunión y se logra establecer cronograma de trabajo </v>
      </c>
    </row>
    <row r="65" spans="1:8" x14ac:dyDescent="0.2">
      <c r="A65">
        <f>+Hoja2!A86</f>
        <v>203023</v>
      </c>
      <c r="B65" s="10" t="str">
        <f>+MID(+Hoja2!B86,1,10)</f>
        <v>24/09/21</v>
      </c>
      <c r="C65">
        <f>+VLOOKUP(D65,DepMaster!$B:$C,2,FALSE)</f>
        <v>956</v>
      </c>
      <c r="D65" t="str">
        <f>+Hoja2!C86</f>
        <v>Gerencia de Diversidades Sexuales e Identidades de Género</v>
      </c>
      <c r="E65" s="12" t="str">
        <f>+MID(Hoja2!F86,1,2)</f>
        <v>80</v>
      </c>
      <c r="F65" t="str">
        <f>+MID(Hoja2!F86,4,20)</f>
        <v>SAN ANTONIO DE PRADO</v>
      </c>
      <c r="G65" t="str">
        <f>+Hoja2!G86</f>
        <v xml:space="preserve">activación de procesos diversos en el corregimiento y dialogo con estudiantes y docentes </v>
      </c>
      <c r="H65" t="str">
        <f>+Hoja2!H86</f>
        <v>se establece directrices para lograr movilizar estrategias frente a discursos y acciones sobre diversidad en el territorio, específicamente con jóvenes que hacen parte de la población.</v>
      </c>
    </row>
    <row r="66" spans="1:8" x14ac:dyDescent="0.2">
      <c r="A66">
        <f>+Hoja2!A87</f>
        <v>203023</v>
      </c>
      <c r="B66" s="10" t="str">
        <f>+MID(+Hoja2!B87,1,10)</f>
        <v>24/09/21</v>
      </c>
      <c r="C66">
        <f>+VLOOKUP(D66,DepMaster!$B:$C,2,FALSE)</f>
        <v>956</v>
      </c>
      <c r="D66" t="str">
        <f>+Hoja2!C87</f>
        <v>Gerencia de Diversidades Sexuales e Identidades de Género</v>
      </c>
      <c r="E66" s="12" t="str">
        <f>+MID(Hoja2!F87,1,2)</f>
        <v>10</v>
      </c>
      <c r="F66" t="str">
        <f>+MID(Hoja2!F87,4,20)</f>
        <v>LA CANDELARIA</v>
      </c>
      <c r="G66" t="str">
        <f>+Hoja2!G87</f>
        <v>Posicionar el centro para la diversidad en la comuna, logrando impactar con mas de 3 actividades semanales las cuales permiten que la población  se acerque y lo vea como un escenario ganador para ellles.</v>
      </c>
      <c r="H66">
        <f>+Hoja2!H87</f>
        <v>0</v>
      </c>
    </row>
    <row r="67" spans="1:8" x14ac:dyDescent="0.2">
      <c r="A67">
        <f>+Hoja2!A88</f>
        <v>203023</v>
      </c>
      <c r="B67" s="10" t="str">
        <f>+MID(+Hoja2!B88,1,10)</f>
        <v>24/09/21</v>
      </c>
      <c r="C67">
        <f>+VLOOKUP(D67,DepMaster!$B:$C,2,FALSE)</f>
        <v>956</v>
      </c>
      <c r="D67" t="str">
        <f>+Hoja2!C88</f>
        <v>Gerencia de Diversidades Sexuales e Identidades de Género</v>
      </c>
      <c r="E67" s="12" t="str">
        <f>+MID(Hoja2!F88,1,2)</f>
        <v>50</v>
      </c>
      <c r="F67" t="str">
        <f>+MID(Hoja2!F88,4,20)</f>
        <v>PALMITAS</v>
      </c>
      <c r="G67" t="str">
        <f>+Hoja2!G88</f>
        <v xml:space="preserve">Motivar población diversa para la conformación de mesas y colectivos, en alianza con las IE del corregimiento </v>
      </c>
      <c r="H67" t="str">
        <f>+Hoja2!H88</f>
        <v xml:space="preserve">15 personas participan en la Reunión y se logra establecer cronograma de trabajo </v>
      </c>
    </row>
    <row r="68" spans="1:8" x14ac:dyDescent="0.2">
      <c r="A68">
        <f>+Hoja2!A89</f>
        <v>203023</v>
      </c>
      <c r="B68" s="10" t="str">
        <f>+MID(+Hoja2!B89,1,10)</f>
        <v>24/09/21</v>
      </c>
      <c r="C68">
        <f>+VLOOKUP(D68,DepMaster!$B:$C,2,FALSE)</f>
        <v>956</v>
      </c>
      <c r="D68" t="str">
        <f>+Hoja2!C89</f>
        <v>Gerencia de Diversidades Sexuales e Identidades de Género</v>
      </c>
      <c r="E68" s="12" t="str">
        <f>+MID(Hoja2!F89,1,2)</f>
        <v>80</v>
      </c>
      <c r="F68" t="str">
        <f>+MID(Hoja2!F89,4,20)</f>
        <v>SAN ANTONIO DE PRADO</v>
      </c>
      <c r="G68" t="str">
        <f>+Hoja2!G89</f>
        <v xml:space="preserve">activación de procesos diversos en el corregimiento y dialogo con estudiantes y docentes </v>
      </c>
      <c r="H68" t="str">
        <f>+Hoja2!H89</f>
        <v>se establece directrices para lograr movilizar estrategias frente a discursos y acciones sobre diversidad en el territorio, específicamente con jóvenes que hacen parte de la población.</v>
      </c>
    </row>
    <row r="69" spans="1:8" x14ac:dyDescent="0.2">
      <c r="A69">
        <f>+Hoja2!A90</f>
        <v>203023</v>
      </c>
      <c r="B69" s="10" t="str">
        <f>+MID(+Hoja2!B90,1,10)</f>
        <v>24/09/21</v>
      </c>
      <c r="C69">
        <f>+VLOOKUP(D69,DepMaster!$B:$C,2,FALSE)</f>
        <v>956</v>
      </c>
      <c r="D69" t="str">
        <f>+Hoja2!C90</f>
        <v>Gerencia de Diversidades Sexuales e Identidades de Género</v>
      </c>
      <c r="E69" s="12" t="str">
        <f>+MID(Hoja2!F90,1,2)</f>
        <v>10</v>
      </c>
      <c r="F69" t="str">
        <f>+MID(Hoja2!F90,4,20)</f>
        <v>LA CANDELARIA</v>
      </c>
      <c r="G69" t="str">
        <f>+Hoja2!G90</f>
        <v>Posicionar el centro para la diversidad en la comuna, logrando impactar con mas de 3 actividades semanales las cuales permiten que la población  se acerque y lo vea como un escenario ganador para ellles.</v>
      </c>
      <c r="H69">
        <f>+Hoja2!H90</f>
        <v>0</v>
      </c>
    </row>
    <row r="70" spans="1:8" x14ac:dyDescent="0.2">
      <c r="A70">
        <f>+Hoja2!A91</f>
        <v>203023</v>
      </c>
      <c r="B70" s="10" t="str">
        <f>+MID(+Hoja2!B91,1,10)</f>
        <v>24/09/21</v>
      </c>
      <c r="C70">
        <f>+VLOOKUP(D70,DepMaster!$B:$C,2,FALSE)</f>
        <v>771</v>
      </c>
      <c r="D70" t="str">
        <f>+Hoja2!C91</f>
        <v>Gerencia del Centro</v>
      </c>
      <c r="E70" s="12" t="str">
        <f>+MID(Hoja2!F91,1,2)</f>
        <v>10</v>
      </c>
      <c r="F70" t="str">
        <f>+MID(Hoja2!F91,4,20)</f>
        <v>LA CANDELARIA</v>
      </c>
      <c r="G70" t="str">
        <f>+Hoja2!G91</f>
        <v>Apariciones en medios</v>
      </c>
      <c r="H70" t="str">
        <f>+Hoja2!H91</f>
        <v>Las publicaciones alcanzaron estas estadísticas en la última semana: Número de Publicaciones: 52 Twitter 18.800 impresiones y 844 interacciones. Instagram 4.900 impresiones y 68 acciones Facebook 456 personas alcanzadas y 120 interacciones. Presencia en medios de comunicación: Entrevista Telemedellín - 18 Sep 2021 - Recorrido Bolívar Mes del Patrimonio Entrevista Teleantioquia - 18 Sep 2021 - Recorrido Bolívar Mes del Patrimonio</v>
      </c>
    </row>
    <row r="71" spans="1:8" x14ac:dyDescent="0.2">
      <c r="A71">
        <f>+Hoja2!A92</f>
        <v>203023</v>
      </c>
      <c r="B71" s="10" t="str">
        <f>+MID(+Hoja2!B92,1,10)</f>
        <v>24/09/21</v>
      </c>
      <c r="C71">
        <f>+VLOOKUP(D71,DepMaster!$B:$C,2,FALSE)</f>
        <v>761</v>
      </c>
      <c r="D71" t="str">
        <f>+Hoja2!C92</f>
        <v>Departamento Administrativo de Planeación</v>
      </c>
      <c r="E71" s="12" t="str">
        <f>+MID(Hoja2!F92,1,2)</f>
        <v>01</v>
      </c>
      <c r="F71" t="str">
        <f>+MID(Hoja2!F92,4,20)</f>
        <v>POPULAR</v>
      </c>
      <c r="G71" t="str">
        <f>+Hoja2!G92</f>
        <v>N/A</v>
      </c>
      <c r="H71" t="str">
        <f>+Hoja2!H92</f>
        <v>N/A</v>
      </c>
    </row>
    <row r="72" spans="1:8" x14ac:dyDescent="0.2">
      <c r="A72">
        <f>+Hoja2!A93</f>
        <v>203023</v>
      </c>
      <c r="B72" s="10" t="str">
        <f>+MID(+Hoja2!B93,1,10)</f>
        <v>24/09/21</v>
      </c>
      <c r="C72">
        <f>+VLOOKUP(D72,DepMaster!$B:$C,2,FALSE)</f>
        <v>761</v>
      </c>
      <c r="D72" t="str">
        <f>+Hoja2!C93</f>
        <v>Departamento Administrativo de Planeación</v>
      </c>
      <c r="E72" s="12" t="str">
        <f>+MID(Hoja2!F93,1,2)</f>
        <v>01</v>
      </c>
      <c r="F72" t="str">
        <f>+MID(Hoja2!F93,4,20)</f>
        <v>POPULAR</v>
      </c>
      <c r="G72" t="str">
        <f>+Hoja2!G93</f>
        <v>N/A</v>
      </c>
      <c r="H72" t="str">
        <f>+Hoja2!H93</f>
        <v>N/A</v>
      </c>
    </row>
    <row r="73" spans="1:8" x14ac:dyDescent="0.2">
      <c r="A73">
        <f>+Hoja2!A94</f>
        <v>203023</v>
      </c>
      <c r="B73" s="10" t="str">
        <f>+MID(+Hoja2!B94,1,10)</f>
        <v>24/09/21</v>
      </c>
      <c r="C73">
        <f>+VLOOKUP(D73,DepMaster!$B:$C,2,FALSE)</f>
        <v>752</v>
      </c>
      <c r="D73" t="str">
        <f>+Hoja2!C94</f>
        <v>Secretaria de Innovación Digital</v>
      </c>
      <c r="E73" s="12" t="str">
        <f>+MID(Hoja2!F94,1,2)</f>
        <v>13</v>
      </c>
      <c r="F73" t="str">
        <f>+MID(Hoja2!F94,4,20)</f>
        <v>SAN JAVIER</v>
      </c>
      <c r="G73" t="str">
        <f>+Hoja2!G94</f>
        <v>500 familias beneficiadas con internet gratis de fibra óptica</v>
      </c>
      <c r="H73" t="str">
        <f>+Hoja2!H94</f>
        <v>más de 2000 personas</v>
      </c>
    </row>
    <row r="74" spans="1:8" x14ac:dyDescent="0.2">
      <c r="A74">
        <f>+Hoja2!A95</f>
        <v>203023</v>
      </c>
      <c r="B74" s="10" t="str">
        <f>+MID(+Hoja2!B95,1,10)</f>
        <v>24/09/21</v>
      </c>
      <c r="C74">
        <f>+VLOOKUP(D74,DepMaster!$B:$C,2,FALSE)</f>
        <v>954</v>
      </c>
      <c r="D74" t="str">
        <f>+Hoja2!C95</f>
        <v>Gerencia de Etnias</v>
      </c>
      <c r="E74" s="12" t="str">
        <f>+MID(Hoja2!F95,1,2)</f>
        <v>01</v>
      </c>
      <c r="F74" t="str">
        <f>+MID(Hoja2!F95,4,20)</f>
        <v>POPULAR</v>
      </c>
      <c r="G74" t="str">
        <f>+Hoja2!G95</f>
        <v>n/a</v>
      </c>
      <c r="H74" t="str">
        <f>+Hoja2!H95</f>
        <v>n/a</v>
      </c>
    </row>
    <row r="75" spans="1:8" x14ac:dyDescent="0.2">
      <c r="A75">
        <f>+Hoja2!A96</f>
        <v>203023</v>
      </c>
      <c r="B75" s="10" t="str">
        <f>+MID(+Hoja2!B96,1,10)</f>
        <v>24/09/21</v>
      </c>
      <c r="C75">
        <f>+VLOOKUP(D75,DepMaster!$B:$C,2,FALSE)</f>
        <v>705</v>
      </c>
      <c r="D75" t="str">
        <f>+Hoja2!C96</f>
        <v>Secretaría General</v>
      </c>
      <c r="E75" s="12" t="str">
        <f>+MID(Hoja2!F96,1,2)</f>
        <v>02</v>
      </c>
      <c r="F75" t="str">
        <f>+MID(Hoja2!F96,4,20)</f>
        <v>SANTA CRUZ</v>
      </c>
      <c r="G75" t="str">
        <f>+Hoja2!G96</f>
        <v>N/A</v>
      </c>
      <c r="H75" t="str">
        <f>+Hoja2!H96</f>
        <v>N/A</v>
      </c>
    </row>
    <row r="76" spans="1:8" x14ac:dyDescent="0.2">
      <c r="A76">
        <f>+Hoja2!A97</f>
        <v>203023</v>
      </c>
      <c r="B76" s="10" t="str">
        <f>+MID(+Hoja2!B97,1,10)</f>
        <v>24/09/21</v>
      </c>
      <c r="C76">
        <f>+VLOOKUP(D76,DepMaster!$B:$C,2,FALSE)</f>
        <v>714</v>
      </c>
      <c r="D76" t="str">
        <f>+Hoja2!C97</f>
        <v>Buen Comienzo</v>
      </c>
      <c r="E76" s="12" t="str">
        <f>+MID(Hoja2!F97,1,2)</f>
        <v>02</v>
      </c>
      <c r="F76" t="str">
        <f>+MID(Hoja2!F97,4,20)</f>
        <v>SANTA CRUZ</v>
      </c>
      <c r="G76" t="str">
        <f>+Hoja2!G97</f>
        <v>•	Continuación de la audiencia pública proceso sancionatorio COOMULSAP en la etapa probatoria.</v>
      </c>
      <c r="H76" t="str">
        <f>+Hoja2!H97</f>
        <v>Se impactará a 75 familias.</v>
      </c>
    </row>
    <row r="77" spans="1:8" x14ac:dyDescent="0.2">
      <c r="A77">
        <f>+Hoja2!A98</f>
        <v>203023</v>
      </c>
      <c r="B77" s="10" t="str">
        <f>+MID(+Hoja2!B98,1,10)</f>
        <v>24/09/21</v>
      </c>
      <c r="C77">
        <f>+VLOOKUP(D77,DepMaster!$B:$C,2,FALSE)</f>
        <v>714</v>
      </c>
      <c r="D77" t="str">
        <f>+Hoja2!C98</f>
        <v>Buen Comienzo</v>
      </c>
      <c r="E77" s="12" t="str">
        <f>+MID(Hoja2!F98,1,2)</f>
        <v>03</v>
      </c>
      <c r="F77" t="str">
        <f>+MID(Hoja2!F98,4,20)</f>
        <v>MANRIQUE</v>
      </c>
      <c r="G77" t="str">
        <f>+Hoja2!G98</f>
        <v>•	Firma de contrato modelo flexible.</v>
      </c>
      <c r="H77" t="str">
        <f>+Hoja2!H98</f>
        <v>Se impactará a 200 niños y niñas.</v>
      </c>
    </row>
    <row r="78" spans="1:8" x14ac:dyDescent="0.2">
      <c r="A78">
        <f>+Hoja2!A99</f>
        <v>203023</v>
      </c>
      <c r="B78" s="10" t="str">
        <f>+MID(+Hoja2!B99,1,10)</f>
        <v>24/09/21</v>
      </c>
      <c r="C78">
        <f>+VLOOKUP(D78,DepMaster!$B:$C,2,FALSE)</f>
        <v>713</v>
      </c>
      <c r="D78" t="str">
        <f>+Hoja2!C99</f>
        <v>Secretaría de Cultura Ciudadanía</v>
      </c>
      <c r="E78" s="12" t="str">
        <f>+MID(Hoja2!F99,1,2)</f>
        <v>13</v>
      </c>
      <c r="F78" t="str">
        <f>+MID(Hoja2!F99,4,20)</f>
        <v>SAN JAVIER</v>
      </c>
      <c r="G78" t="str">
        <f>+Hoja2!G99</f>
        <v>Desde la Casa de Cultura Alcázares se desarrolló la estrategia de articulación con el Carnaval de la 13, el cual se realizó los días 17, 18 y 19 de septiembre, donde el escenario de Red Catul fue sede de algunos eventos como el conversatorio de teatro callejero con el moderador Juan Pablo Ricaurte.</v>
      </c>
      <c r="H78" t="str">
        <f>+Hoja2!H99</f>
        <v>asistieron 100 personas.</v>
      </c>
    </row>
    <row r="79" spans="1:8" x14ac:dyDescent="0.2">
      <c r="A79">
        <f>+Hoja2!A100</f>
        <v>203023</v>
      </c>
      <c r="B79" s="10" t="str">
        <f>+MID(+Hoja2!B100,1,10)</f>
        <v>24/09/21</v>
      </c>
      <c r="C79">
        <f>+VLOOKUP(D79,DepMaster!$B:$C,2,FALSE)</f>
        <v>713</v>
      </c>
      <c r="D79" t="str">
        <f>+Hoja2!C100</f>
        <v>Secretaría de Cultura Ciudadanía</v>
      </c>
      <c r="E79" s="12" t="str">
        <f>+MID(Hoja2!F100,1,2)</f>
        <v>06</v>
      </c>
      <c r="F79" t="str">
        <f>+MID(Hoja2!F100,4,20)</f>
        <v>DOCE DE OCTUBRE</v>
      </c>
      <c r="G79" t="str">
        <f>+Hoja2!G100</f>
        <v xml:space="preserve">COMUNA 6 CASA DE CULTURA PEDREGAL
"Ponte salsa en familia", evento realizado con Latina Stereo y Comfama.
</v>
      </c>
      <c r="H79" t="str">
        <f>+Hoja2!H100</f>
        <v>63 asistentes.</v>
      </c>
    </row>
    <row r="80" spans="1:8" x14ac:dyDescent="0.2">
      <c r="A80">
        <f>+Hoja2!A101</f>
        <v>203023</v>
      </c>
      <c r="B80" s="10" t="str">
        <f>+MID(+Hoja2!B101,1,10)</f>
        <v>24/09/21</v>
      </c>
      <c r="C80">
        <f>+VLOOKUP(D80,DepMaster!$B:$C,2,FALSE)</f>
        <v>753</v>
      </c>
      <c r="D80" t="str">
        <f>+Hoja2!C101</f>
        <v>Gerencia de Corregimientos</v>
      </c>
      <c r="E80" s="12" t="str">
        <f>+MID(Hoja2!F101,1,2)</f>
        <v>60</v>
      </c>
      <c r="F80" t="str">
        <f>+MID(Hoja2!F101,4,20)</f>
        <v>SAN CRISTOBAL</v>
      </c>
      <c r="G80" t="str">
        <f>+Hoja2!G101</f>
        <v xml:space="preserve">Se está terminando la caracterización del programa de manos que alimenta que se está articulando con la Gerencia de Corregimientos, para determinar las familias que saldrán beneficiadas con estos subsidios en los cinco corregimientos. </v>
      </c>
      <c r="H80" t="str">
        <f>+Hoja2!H101</f>
        <v xml:space="preserve">Se beneficiaran 830 familias. </v>
      </c>
    </row>
    <row r="81" spans="1:8" x14ac:dyDescent="0.2">
      <c r="A81">
        <f>+Hoja2!A102</f>
        <v>203023</v>
      </c>
      <c r="B81" s="10" t="str">
        <f>+MID(+Hoja2!B102,1,10)</f>
        <v>24/09/21</v>
      </c>
      <c r="C81">
        <f>+VLOOKUP(D81,DepMaster!$B:$C,2,FALSE)</f>
        <v>753</v>
      </c>
      <c r="D81" t="str">
        <f>+Hoja2!C102</f>
        <v>Gerencia de Corregimientos</v>
      </c>
      <c r="E81" s="12" t="str">
        <f>+MID(Hoja2!F102,1,2)</f>
        <v>90</v>
      </c>
      <c r="F81" t="str">
        <f>+MID(Hoja2!F102,4,20)</f>
        <v>SANTA ELENA</v>
      </c>
      <c r="G81" t="str">
        <f>+Hoja2!G102</f>
        <v xml:space="preserve">En el proyecto rutas de siembras del ayuntamiento de Barcelona, el cual se ganó COMFENALCO con apoyo de la Gerencia de Corregimientos con el fin de articular  una red turística con las fincas del corregimiento. En este momento se está en la preselección de las fincas. </v>
      </c>
      <c r="H81" t="str">
        <f>+Hoja2!H102</f>
        <v xml:space="preserve">25 fincas preseleccionadas 
8 fincas Finalistas.
</v>
      </c>
    </row>
    <row r="82" spans="1:8" x14ac:dyDescent="0.2">
      <c r="A82">
        <f>+Hoja2!A103</f>
        <v>203023</v>
      </c>
      <c r="B82" s="10" t="str">
        <f>+MID(+Hoja2!B103,1,10)</f>
        <v>24/09/21</v>
      </c>
      <c r="C82">
        <f>+VLOOKUP(D82,DepMaster!$B:$C,2,FALSE)</f>
        <v>753</v>
      </c>
      <c r="D82" t="str">
        <f>+Hoja2!C103</f>
        <v>Gerencia de Corregimientos</v>
      </c>
      <c r="E82" s="12" t="str">
        <f>+MID(Hoja2!F103,1,2)</f>
        <v>80</v>
      </c>
      <c r="F82" t="str">
        <f>+MID(Hoja2!F103,4,20)</f>
        <v>SAN ANTONIO DE PRADO</v>
      </c>
      <c r="G82" t="str">
        <f>+Hoja2!G103</f>
        <v>Se apertura las inscripciones del proyecto káiser de la secretaria de Desarrollo Económico en articulación con la Gerencia de Corregimientos para el beneficio de 50 mujeres rurales.</v>
      </c>
      <c r="H82" t="str">
        <f>+Hoja2!H103</f>
        <v xml:space="preserve">- 50 mujeres se les otorgara una capacitación para brindar herramientas que les permita un proyecto de vida. 
- 25 van a ser premiadas con $10.000.000. 
</v>
      </c>
    </row>
    <row r="83" spans="1:8" x14ac:dyDescent="0.2">
      <c r="A83">
        <f>+Hoja2!A104</f>
        <v>203023</v>
      </c>
      <c r="B83" s="10" t="str">
        <f>+MID(+Hoja2!B104,1,10)</f>
        <v>24/09/21</v>
      </c>
      <c r="C83">
        <f>+VLOOKUP(D83,DepMaster!$B:$C,2,FALSE)</f>
        <v>707</v>
      </c>
      <c r="D83" t="str">
        <f>+Hoja2!C104</f>
        <v>Secretaría de Servicios y Suministros</v>
      </c>
      <c r="E83" s="12" t="str">
        <f>+MID(Hoja2!F104,1,2)</f>
        <v>16</v>
      </c>
      <c r="F83" t="str">
        <f>+MID(Hoja2!F104,4,20)</f>
        <v>BELEN</v>
      </c>
      <c r="G83" t="str">
        <f>+Hoja2!G104</f>
        <v xml:space="preserve">•	Ruta de Medellín Cuida lo Público – Belén. </v>
      </c>
      <c r="H83" t="str">
        <f>+Hoja2!H104</f>
        <v>N/A</v>
      </c>
    </row>
    <row r="84" spans="1:8" x14ac:dyDescent="0.2">
      <c r="A84">
        <f>+Hoja2!A105</f>
        <v>203023</v>
      </c>
      <c r="B84" s="10" t="str">
        <f>+MID(+Hoja2!B105,1,10)</f>
        <v>24/09/21</v>
      </c>
      <c r="C84">
        <f>+VLOOKUP(D84,DepMaster!$B:$C,2,FALSE)</f>
        <v>722</v>
      </c>
      <c r="D84" t="str">
        <f>+Hoja2!C105</f>
        <v>Secretaría de Inclusión, Familia y Derechos Humanos</v>
      </c>
      <c r="E84" s="12" t="str">
        <f>+MID(Hoja2!F105,1,2)</f>
        <v>02</v>
      </c>
      <c r="F84" t="str">
        <f>+MID(Hoja2!F105,4,20)</f>
        <v>SANTA CRUZ</v>
      </c>
      <c r="G84" t="str">
        <f>+Hoja2!G105</f>
        <v xml:space="preserve">Feria de Servicios Santa Cruz - Sensibilizar a niñas, niños, adolescentes y padres de familia sobre los cuidados en contra de la explotación sexual y sobre como generar espacios protectores y de autocuidado. </v>
      </c>
      <c r="H84" t="str">
        <f>+Hoja2!H105</f>
        <v>50 niñas, niños y adolescentes, 40 adultos.</v>
      </c>
    </row>
    <row r="85" spans="1:8" x14ac:dyDescent="0.2">
      <c r="A85">
        <f>+Hoja2!A106</f>
        <v>203023</v>
      </c>
      <c r="B85" s="10" t="str">
        <f>+MID(+Hoja2!B106,1,10)</f>
        <v>24/09/21</v>
      </c>
      <c r="C85">
        <f>+VLOOKUP(D85,DepMaster!$B:$C,2,FALSE)</f>
        <v>722</v>
      </c>
      <c r="D85" t="str">
        <f>+Hoja2!C106</f>
        <v>Secretaría de Inclusión, Familia y Derechos Humanos</v>
      </c>
      <c r="E85" s="12" t="str">
        <f>+MID(Hoja2!F106,1,2)</f>
        <v>10</v>
      </c>
      <c r="F85" t="str">
        <f>+MID(Hoja2!F106,4,20)</f>
        <v>LA CANDELARIA</v>
      </c>
      <c r="G85" t="str">
        <f>+Hoja2!G106</f>
        <v xml:space="preserve">Comunas: 10,16 y 60
protección y restablecimiento de derechos a personas mayores
ACTIVIDAD: traslado desde la vivienda e ingreso a instituciones del modelo larga estancia y Dormitorio Social.
</v>
      </c>
      <c r="H85" t="str">
        <f>+Hoja2!H106</f>
        <v>7 personas mayores</v>
      </c>
    </row>
    <row r="86" spans="1:8" x14ac:dyDescent="0.2">
      <c r="A86">
        <f>+Hoja2!A107</f>
        <v>203023</v>
      </c>
      <c r="B86" s="10" t="str">
        <f>+MID(+Hoja2!B107,1,10)</f>
        <v>24/09/21</v>
      </c>
      <c r="C86">
        <f>+VLOOKUP(D86,DepMaster!$B:$C,2,FALSE)</f>
        <v>722</v>
      </c>
      <c r="D86" t="str">
        <f>+Hoja2!C107</f>
        <v>Secretaría de Inclusión, Familia y Derechos Humanos</v>
      </c>
      <c r="E86" s="12" t="str">
        <f>+MID(Hoja2!F107,1,2)</f>
        <v>04</v>
      </c>
      <c r="F86" t="str">
        <f>+MID(Hoja2!F107,4,20)</f>
        <v>ARANJUEZ</v>
      </c>
      <c r="G86" t="str">
        <f>+Hoja2!G107</f>
        <v>atención en salud a personas mayores que viven en el Centro de Protección Bello Horizonte</v>
      </c>
      <c r="H86" t="str">
        <f>+Hoja2!H107</f>
        <v>20 personas mayores</v>
      </c>
    </row>
    <row r="87" spans="1:8" x14ac:dyDescent="0.2">
      <c r="A87">
        <f>+Hoja2!A108</f>
        <v>203023</v>
      </c>
      <c r="B87" s="10" t="str">
        <f>+MID(+Hoja2!B108,1,10)</f>
        <v>24/09/21</v>
      </c>
      <c r="C87">
        <f>+VLOOKUP(D87,DepMaster!$B:$C,2,FALSE)</f>
        <v>722</v>
      </c>
      <c r="D87" t="str">
        <f>+Hoja2!C108</f>
        <v>Secretaría de Inclusión, Familia y Derechos Humanos</v>
      </c>
      <c r="E87" s="12" t="str">
        <f>+MID(Hoja2!F108,1,2)</f>
        <v>09</v>
      </c>
      <c r="F87" t="str">
        <f>+MID(Hoja2!F108,4,20)</f>
        <v>BUENOS AIRES</v>
      </c>
      <c r="G87" t="str">
        <f>+Hoja2!G108</f>
        <v>En articulación con la Personería Municipal de Medellín participamos en las jornadas de control social y participación ciudadana, con el fin de visitar las comunidades y los territorios con sus propios entornos para generar acciones y mayores impactos. Desde el Equipo de Discapacidad los profesionales de Ser Capaz participaron activamente en las jornadas promocionando la oferta de servicios y brindando información a la comunidad.</v>
      </c>
      <c r="H87">
        <f>+Hoja2!H108</f>
        <v>0</v>
      </c>
    </row>
    <row r="88" spans="1:8" x14ac:dyDescent="0.2">
      <c r="A88">
        <f>+Hoja2!A109</f>
        <v>203023</v>
      </c>
      <c r="B88" s="10" t="str">
        <f>+MID(+Hoja2!B109,1,10)</f>
        <v>24/09/21</v>
      </c>
      <c r="C88">
        <f>+VLOOKUP(D88,DepMaster!$B:$C,2,FALSE)</f>
        <v>722</v>
      </c>
      <c r="D88" t="str">
        <f>+Hoja2!C109</f>
        <v>Secretaría de Inclusión, Familia y Derechos Humanos</v>
      </c>
      <c r="E88" s="12" t="str">
        <f>+MID(Hoja2!F109,1,2)</f>
        <v>03</v>
      </c>
      <c r="F88" t="str">
        <f>+MID(Hoja2!F109,4,20)</f>
        <v>MANRIQUE</v>
      </c>
      <c r="G88" t="str">
        <f>+Hoja2!G109</f>
        <v xml:space="preserve">COMUNA: 3,4,5,6,7 y 10
Entrega de paquetes alimentarios – Apoyo Nutricional para Población Vulnerable.
Entrega de complemento alimentario
</v>
      </c>
      <c r="H88">
        <f>+Hoja2!H109</f>
        <v>3.407</v>
      </c>
    </row>
    <row r="89" spans="1:8" x14ac:dyDescent="0.2">
      <c r="A89">
        <f>+Hoja2!A110</f>
        <v>203023</v>
      </c>
      <c r="B89" s="10" t="str">
        <f>+MID(+Hoja2!B110,1,10)</f>
        <v>24/09/21</v>
      </c>
      <c r="C89">
        <f>+VLOOKUP(D89,DepMaster!$B:$C,2,FALSE)</f>
        <v>722</v>
      </c>
      <c r="D89" t="str">
        <f>+Hoja2!C110</f>
        <v>Secretaría de Inclusión, Familia y Derechos Humanos</v>
      </c>
      <c r="E89" s="12" t="str">
        <f>+MID(Hoja2!F110,1,2)</f>
        <v>01</v>
      </c>
      <c r="F89" t="str">
        <f>+MID(Hoja2!F110,4,20)</f>
        <v>POPULAR</v>
      </c>
      <c r="G89" t="str">
        <f>+Hoja2!G110</f>
        <v>COMUNA: 1,2,3,4,5,6,7,8,9,10,11,12,13,14,15,16,50,60,70,80 y 90. 
Entrega de raciones alimentarios – Programa de Alimentación Escolar (PAE)
ACTIVIDAD: Entrega de raciones alimentarios en la modalidad de Ración Industrializada a titulares de derecho del PAE</v>
      </c>
      <c r="H89">
        <f>+Hoja2!H110</f>
        <v>673.54499999999996</v>
      </c>
    </row>
    <row r="90" spans="1:8" x14ac:dyDescent="0.2">
      <c r="A90">
        <f>+Hoja2!A111</f>
        <v>203023</v>
      </c>
      <c r="B90" s="10" t="str">
        <f>+MID(+Hoja2!B111,1,10)</f>
        <v>24/09/21</v>
      </c>
      <c r="C90">
        <f>+VLOOKUP(D90,DepMaster!$B:$C,2,FALSE)</f>
        <v>722</v>
      </c>
      <c r="D90" t="str">
        <f>+Hoja2!C111</f>
        <v>Secretaría de Inclusión, Familia y Derechos Humanos</v>
      </c>
      <c r="E90" s="12" t="str">
        <f>+MID(Hoja2!F111,1,2)</f>
        <v>01</v>
      </c>
      <c r="F90" t="str">
        <f>+MID(Hoja2!F111,4,20)</f>
        <v>POPULAR</v>
      </c>
      <c r="G90" t="str">
        <f>+Hoja2!G111</f>
        <v xml:space="preserve">COMUNA: 1,2,3,4,5,6,7,8,9,10,11,12,13,14,15,16,50,60,70,80,90 
Personas capacitadas – Apoyo Nutricional para Población Vulnerable.
ACTIVIDAD: Participantes capacitados en prácticas y hábitos alimentarios adecuados.
</v>
      </c>
      <c r="H90">
        <f>+Hoja2!H111</f>
        <v>3.6930000000000001</v>
      </c>
    </row>
    <row r="91" spans="1:8" x14ac:dyDescent="0.2">
      <c r="A91">
        <f>+Hoja2!A112</f>
        <v>203023</v>
      </c>
      <c r="B91" s="10" t="str">
        <f>+MID(+Hoja2!B112,1,10)</f>
        <v>24/09/21</v>
      </c>
      <c r="C91">
        <f>+VLOOKUP(D91,DepMaster!$B:$C,2,FALSE)</f>
        <v>722</v>
      </c>
      <c r="D91" t="str">
        <f>+Hoja2!C112</f>
        <v>Secretaría de Inclusión, Familia y Derechos Humanos</v>
      </c>
      <c r="E91" s="12" t="str">
        <f>+MID(Hoja2!F112,1,2)</f>
        <v>10</v>
      </c>
      <c r="F91" t="str">
        <f>+MID(Hoja2!F112,4,20)</f>
        <v>LA CANDELARIA</v>
      </c>
      <c r="G91" t="str">
        <f>+Hoja2!G112</f>
        <v xml:space="preserve">Certificaciones en habilidades laborales
ACTIVIDAD: En lo que va corrido del segundo semestre de 2021, se han entregado 150 certificados en habilidades laborales de cursos con el SENA y la Universidad La Sallista a ciudadanos que se encuentran en proceso de resocialización semi abierta e intramural, un logro que apunta a capacitarlos para que puedan acceder a más oportunidades al egresar.
</v>
      </c>
      <c r="H91">
        <f>+Hoja2!H112</f>
        <v>150</v>
      </c>
    </row>
    <row r="92" spans="1:8" x14ac:dyDescent="0.2">
      <c r="A92">
        <f>+Hoja2!A113</f>
        <v>203023</v>
      </c>
      <c r="B92" s="10" t="str">
        <f>+MID(+Hoja2!B113,1,10)</f>
        <v>24/09/21</v>
      </c>
      <c r="C92">
        <f>+VLOOKUP(D92,DepMaster!$B:$C,2,FALSE)</f>
        <v>722</v>
      </c>
      <c r="D92" t="str">
        <f>+Hoja2!C113</f>
        <v>Secretaría de Inclusión, Familia y Derechos Humanos</v>
      </c>
      <c r="E92" s="12" t="str">
        <f>+MID(Hoja2!F113,1,2)</f>
        <v>01</v>
      </c>
      <c r="F92" t="str">
        <f>+MID(Hoja2!F113,4,20)</f>
        <v>POPULAR</v>
      </c>
      <c r="G92" t="str">
        <f>+Hoja2!G113</f>
        <v xml:space="preserve">Todas las comunas: Reunión con las mesas y comités de DDHHs de las comunas para el inicio y desarrollo de las iniciativas de fortalecimiento.
ACTIVIDAD: Reunión de validación de los requisitos y fechas.
</v>
      </c>
      <c r="H92">
        <f>+Hoja2!H113</f>
        <v>35</v>
      </c>
    </row>
  </sheetData>
  <autoFilter ref="A1:H100" xr:uid="{00000000-0001-0000-02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C27"/>
  <sheetViews>
    <sheetView workbookViewId="0">
      <selection activeCell="B27" sqref="B27"/>
    </sheetView>
  </sheetViews>
  <sheetFormatPr baseColWidth="10" defaultRowHeight="15" x14ac:dyDescent="0.2"/>
  <cols>
    <col min="2" max="2" width="55.1640625" bestFit="1" customWidth="1"/>
  </cols>
  <sheetData>
    <row r="1" spans="2:3" x14ac:dyDescent="0.2">
      <c r="B1" t="s">
        <v>121</v>
      </c>
      <c r="C1" t="s">
        <v>126</v>
      </c>
    </row>
    <row r="2" spans="2:3" x14ac:dyDescent="0.2">
      <c r="B2" t="s">
        <v>73</v>
      </c>
      <c r="C2">
        <v>761</v>
      </c>
    </row>
    <row r="3" spans="2:3" x14ac:dyDescent="0.2">
      <c r="B3" t="s">
        <v>68</v>
      </c>
      <c r="C3">
        <v>956</v>
      </c>
    </row>
    <row r="4" spans="2:3" x14ac:dyDescent="0.2">
      <c r="B4" t="s">
        <v>76</v>
      </c>
      <c r="C4">
        <v>723</v>
      </c>
    </row>
    <row r="5" spans="2:3" x14ac:dyDescent="0.2">
      <c r="B5" t="s">
        <v>78</v>
      </c>
      <c r="C5">
        <v>751</v>
      </c>
    </row>
    <row r="6" spans="2:3" x14ac:dyDescent="0.2">
      <c r="B6" t="s">
        <v>85</v>
      </c>
      <c r="C6">
        <v>762</v>
      </c>
    </row>
    <row r="7" spans="2:3" x14ac:dyDescent="0.2">
      <c r="B7" t="s">
        <v>87</v>
      </c>
      <c r="C7">
        <v>742</v>
      </c>
    </row>
    <row r="8" spans="2:3" x14ac:dyDescent="0.2">
      <c r="B8" t="s">
        <v>92</v>
      </c>
      <c r="C8">
        <v>705</v>
      </c>
    </row>
    <row r="9" spans="2:3" x14ac:dyDescent="0.2">
      <c r="B9" t="s">
        <v>93</v>
      </c>
      <c r="C9">
        <v>703</v>
      </c>
    </row>
    <row r="10" spans="2:3" x14ac:dyDescent="0.2">
      <c r="B10" t="s">
        <v>95</v>
      </c>
      <c r="C10">
        <v>732</v>
      </c>
    </row>
    <row r="11" spans="2:3" x14ac:dyDescent="0.2">
      <c r="B11" t="s">
        <v>100</v>
      </c>
      <c r="C11">
        <v>724</v>
      </c>
    </row>
    <row r="12" spans="2:3" x14ac:dyDescent="0.2">
      <c r="B12" t="s">
        <v>101</v>
      </c>
      <c r="C12">
        <v>771</v>
      </c>
    </row>
    <row r="13" spans="2:3" x14ac:dyDescent="0.2">
      <c r="B13" t="s">
        <v>103</v>
      </c>
      <c r="C13">
        <v>711</v>
      </c>
    </row>
    <row r="14" spans="2:3" x14ac:dyDescent="0.2">
      <c r="B14" t="s">
        <v>104</v>
      </c>
      <c r="C14">
        <v>706</v>
      </c>
    </row>
    <row r="15" spans="2:3" x14ac:dyDescent="0.2">
      <c r="B15" t="s">
        <v>105</v>
      </c>
      <c r="C15">
        <v>714</v>
      </c>
    </row>
    <row r="16" spans="2:3" x14ac:dyDescent="0.2">
      <c r="B16" t="s">
        <v>106</v>
      </c>
      <c r="C16">
        <v>752</v>
      </c>
    </row>
    <row r="17" spans="2:3" x14ac:dyDescent="0.2">
      <c r="B17" t="s">
        <v>107</v>
      </c>
      <c r="C17">
        <v>722</v>
      </c>
    </row>
    <row r="18" spans="2:3" x14ac:dyDescent="0.2">
      <c r="B18" t="s">
        <v>108</v>
      </c>
      <c r="C18">
        <v>753</v>
      </c>
    </row>
    <row r="19" spans="2:3" x14ac:dyDescent="0.2">
      <c r="B19" t="s">
        <v>109</v>
      </c>
      <c r="C19">
        <v>713</v>
      </c>
    </row>
    <row r="20" spans="2:3" x14ac:dyDescent="0.2">
      <c r="B20" t="s">
        <v>102</v>
      </c>
      <c r="C20">
        <v>954</v>
      </c>
    </row>
    <row r="21" spans="2:3" x14ac:dyDescent="0.2">
      <c r="B21" t="s">
        <v>110</v>
      </c>
      <c r="C21">
        <v>741</v>
      </c>
    </row>
    <row r="22" spans="2:3" x14ac:dyDescent="0.2">
      <c r="B22" t="s">
        <v>111</v>
      </c>
      <c r="C22">
        <v>743</v>
      </c>
    </row>
    <row r="23" spans="2:3" x14ac:dyDescent="0.2">
      <c r="B23" t="s">
        <v>113</v>
      </c>
      <c r="C23">
        <v>721</v>
      </c>
    </row>
    <row r="24" spans="2:3" x14ac:dyDescent="0.2">
      <c r="B24" t="s">
        <v>114</v>
      </c>
      <c r="C24">
        <v>733</v>
      </c>
    </row>
    <row r="25" spans="2:3" x14ac:dyDescent="0.2">
      <c r="B25" t="s">
        <v>116</v>
      </c>
      <c r="C25">
        <v>712</v>
      </c>
    </row>
    <row r="26" spans="2:3" x14ac:dyDescent="0.2">
      <c r="B26" t="s">
        <v>117</v>
      </c>
      <c r="C26">
        <v>707</v>
      </c>
    </row>
    <row r="27" spans="2:3" x14ac:dyDescent="0.2">
      <c r="B27" t="s">
        <v>245</v>
      </c>
      <c r="C27">
        <v>702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Hoja1</vt:lpstr>
      <vt:lpstr>Hoja2</vt:lpstr>
      <vt:lpstr>Hoja3</vt:lpstr>
      <vt:lpstr>DepMaster</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Vanessa Gonzalez Londoño</dc:creator>
  <cp:lastModifiedBy>Microsoft Office User</cp:lastModifiedBy>
  <dcterms:created xsi:type="dcterms:W3CDTF">2021-08-04T14:47:36Z</dcterms:created>
  <dcterms:modified xsi:type="dcterms:W3CDTF">2021-09-27T12:56:45Z</dcterms:modified>
</cp:coreProperties>
</file>