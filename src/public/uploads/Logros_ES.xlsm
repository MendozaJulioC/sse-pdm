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2" codeName="{D272C609-87CA-5A14-B04D-65DF03BDDAF1}"/>
  <workbookPr codeName="ThisWorkbook"/>
  <mc:AlternateContent xmlns:mc="http://schemas.openxmlformats.org/markup-compatibility/2006">
    <mc:Choice Requires="x15">
      <x15ac:absPath xmlns:x15ac="http://schemas.microsoft.com/office/spreadsheetml/2010/11/ac" url="/Users/juliocesarmendoza/Desktop/pipApp/Backend-pi/src/public/uploads/"/>
    </mc:Choice>
  </mc:AlternateContent>
  <xr:revisionPtr revIDLastSave="0" documentId="13_ncr:1_{F8814D0F-F5F1-3B46-A4A9-596CA694E607}" xr6:coauthVersionLast="47" xr6:coauthVersionMax="47" xr10:uidLastSave="{00000000-0000-0000-0000-000000000000}"/>
  <bookViews>
    <workbookView xWindow="0" yWindow="500" windowWidth="51200" windowHeight="27060" activeTab="2" xr2:uid="{00000000-000D-0000-FFFF-FFFF00000000}"/>
  </bookViews>
  <sheets>
    <sheet name="Hoja1" sheetId="1" r:id="rId1"/>
    <sheet name="Hoja2" sheetId="2" r:id="rId2"/>
    <sheet name="Hoja3" sheetId="3" r:id="rId3"/>
    <sheet name="DepMaster" sheetId="4" r:id="rId4"/>
  </sheets>
  <definedNames>
    <definedName name="_xlnm._FilterDatabase" localSheetId="2" hidden="1">Hoja3!$A$1:$H$77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5" i="3" l="1"/>
  <c r="C15" i="3" s="1"/>
  <c r="B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2" i="3"/>
  <c r="D2" i="3"/>
  <c r="C2" i="3" s="1"/>
  <c r="D3" i="3"/>
  <c r="C3" i="3" s="1"/>
  <c r="D4" i="3"/>
  <c r="C4" i="3" s="1"/>
  <c r="D5" i="3"/>
  <c r="C5" i="3" s="1"/>
  <c r="D6" i="3"/>
  <c r="C6" i="3" s="1"/>
  <c r="D7" i="3"/>
  <c r="C7" i="3" s="1"/>
  <c r="D8" i="3"/>
  <c r="C8" i="3" s="1"/>
  <c r="D9" i="3"/>
  <c r="C9" i="3" s="1"/>
  <c r="D10" i="3"/>
  <c r="C10" i="3" s="1"/>
  <c r="D11" i="3"/>
  <c r="C11" i="3" s="1"/>
  <c r="D12" i="3"/>
  <c r="C12" i="3" s="1"/>
  <c r="D13" i="3"/>
  <c r="C13" i="3" s="1"/>
  <c r="D14" i="3"/>
  <c r="C14" i="3" s="1"/>
  <c r="D16" i="3"/>
  <c r="C16" i="3" s="1"/>
  <c r="D17" i="3"/>
  <c r="C17" i="3" s="1"/>
  <c r="D18" i="3"/>
  <c r="C18" i="3" s="1"/>
  <c r="D19" i="3"/>
  <c r="C19" i="3" s="1"/>
  <c r="D20" i="3"/>
  <c r="C20" i="3" s="1"/>
  <c r="D21" i="3"/>
  <c r="C21" i="3" s="1"/>
  <c r="D22" i="3"/>
  <c r="C22" i="3" s="1"/>
  <c r="D23" i="3"/>
  <c r="C23" i="3" s="1"/>
  <c r="D24" i="3"/>
  <c r="C24" i="3" s="1"/>
  <c r="D25" i="3"/>
  <c r="C25" i="3" s="1"/>
  <c r="D26" i="3"/>
  <c r="C26" i="3" s="1"/>
  <c r="D27" i="3"/>
  <c r="C27" i="3" s="1"/>
  <c r="D28" i="3"/>
  <c r="C28" i="3" s="1"/>
  <c r="D29" i="3"/>
  <c r="C29" i="3" s="1"/>
  <c r="D30" i="3"/>
  <c r="C30" i="3" s="1"/>
  <c r="D31" i="3"/>
  <c r="C31" i="3" s="1"/>
  <c r="D32" i="3"/>
  <c r="C32" i="3" s="1"/>
  <c r="D33" i="3"/>
  <c r="C33" i="3" s="1"/>
  <c r="D34" i="3"/>
  <c r="C34" i="3" s="1"/>
  <c r="D35" i="3"/>
  <c r="C35" i="3" s="1"/>
  <c r="D36" i="3"/>
  <c r="C36" i="3" s="1"/>
  <c r="D37" i="3"/>
  <c r="C37" i="3" s="1"/>
  <c r="D38" i="3"/>
  <c r="C38" i="3" s="1"/>
  <c r="D39" i="3"/>
  <c r="C39" i="3" s="1"/>
  <c r="D40" i="3"/>
  <c r="C40" i="3" s="1"/>
  <c r="D41" i="3"/>
  <c r="C41" i="3" s="1"/>
  <c r="D42" i="3"/>
  <c r="C42" i="3" s="1"/>
  <c r="D43" i="3"/>
  <c r="C43" i="3" s="1"/>
  <c r="D44" i="3"/>
  <c r="C44" i="3" s="1"/>
  <c r="D45" i="3"/>
  <c r="C45" i="3" s="1"/>
  <c r="D46" i="3"/>
  <c r="C46" i="3" s="1"/>
  <c r="D47" i="3"/>
  <c r="C47" i="3" s="1"/>
  <c r="D48" i="3"/>
  <c r="C48" i="3" s="1"/>
  <c r="D49" i="3"/>
  <c r="C49" i="3" s="1"/>
  <c r="D50" i="3"/>
  <c r="C50" i="3" s="1"/>
  <c r="D51" i="3"/>
  <c r="C51" i="3" s="1"/>
  <c r="D52" i="3"/>
  <c r="C52" i="3" s="1"/>
  <c r="D53" i="3"/>
  <c r="C53" i="3" s="1"/>
  <c r="D54" i="3"/>
  <c r="C54" i="3" s="1"/>
  <c r="D55" i="3"/>
  <c r="C55" i="3" s="1"/>
  <c r="D56" i="3"/>
  <c r="C56" i="3" s="1"/>
  <c r="D57" i="3"/>
  <c r="C57" i="3" s="1"/>
  <c r="D58" i="3"/>
  <c r="C58" i="3" s="1"/>
  <c r="D59" i="3"/>
  <c r="C59" i="3" s="1"/>
  <c r="D60" i="3"/>
  <c r="C60" i="3" s="1"/>
  <c r="D61" i="3"/>
  <c r="C61" i="3" s="1"/>
  <c r="D62" i="3"/>
  <c r="C62" i="3" s="1"/>
  <c r="D63" i="3"/>
  <c r="C63" i="3" s="1"/>
  <c r="D64" i="3"/>
  <c r="C64" i="3" s="1"/>
  <c r="D65" i="3"/>
  <c r="C65" i="3" s="1"/>
  <c r="D66" i="3"/>
  <c r="C66" i="3" s="1"/>
  <c r="D67" i="3"/>
  <c r="C67" i="3" s="1"/>
  <c r="D68" i="3"/>
  <c r="C68" i="3" s="1"/>
  <c r="D69" i="3"/>
  <c r="C69" i="3" s="1"/>
  <c r="D70" i="3"/>
  <c r="C70" i="3" s="1"/>
  <c r="D71" i="3"/>
  <c r="C71" i="3" s="1"/>
  <c r="D72" i="3"/>
  <c r="C72" i="3" s="1"/>
  <c r="A2" i="3"/>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H2" i="3" l="1"/>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G2" i="3"/>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F2" i="3"/>
  <c r="F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E2" i="3"/>
  <c r="E3" i="3"/>
  <c r="E4" i="3"/>
  <c r="E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alcChain>
</file>

<file path=xl/sharedStrings.xml><?xml version="1.0" encoding="utf-8"?>
<sst xmlns="http://schemas.openxmlformats.org/spreadsheetml/2006/main" count="1367" uniqueCount="310">
  <si>
    <t>NOMBRE</t>
  </si>
  <si>
    <t>FECHA</t>
  </si>
  <si>
    <t>Dependencia/Gerencia/Depa</t>
  </si>
  <si>
    <t>Nombre_Secretario/Dir/Gere</t>
  </si>
  <si>
    <t>Cargo_específico</t>
  </si>
  <si>
    <t>a)_Comuna_1:</t>
  </si>
  <si>
    <t>b)_Logro_1:</t>
  </si>
  <si>
    <t>c)_Cifras_1</t>
  </si>
  <si>
    <t>a)_Comuna_2:</t>
  </si>
  <si>
    <t>b)_Logro_2:</t>
  </si>
  <si>
    <t>c)_Cifras_2</t>
  </si>
  <si>
    <t>a)_Comuna_3:</t>
  </si>
  <si>
    <t>b)_Logro_3:</t>
  </si>
  <si>
    <t>c)_Cifras_3</t>
  </si>
  <si>
    <t>a)_Comuna_4:</t>
  </si>
  <si>
    <t>b)_Logro_4:</t>
  </si>
  <si>
    <t>c)_Cifras_4</t>
  </si>
  <si>
    <t>a)_Comuna_5:</t>
  </si>
  <si>
    <t>b)_Logro_5:</t>
  </si>
  <si>
    <t>c)_Cifras_5</t>
  </si>
  <si>
    <t>a)_Comuna_6:</t>
  </si>
  <si>
    <t>b)_Logro_6:</t>
  </si>
  <si>
    <t>c)_Cifras_6</t>
  </si>
  <si>
    <t>a)_Comuna_7:</t>
  </si>
  <si>
    <t>b)_Logro_7:</t>
  </si>
  <si>
    <t>c)_Cifras_7</t>
  </si>
  <si>
    <t>a)_Comuna_8:</t>
  </si>
  <si>
    <t>b)_Logro_8:</t>
  </si>
  <si>
    <t>c)_Cifras_8</t>
  </si>
  <si>
    <t>a)_Comuna_9:</t>
  </si>
  <si>
    <t>b)_Logro_9:</t>
  </si>
  <si>
    <t>c)_Cifras_9</t>
  </si>
  <si>
    <t>a)_Comuna_10:</t>
  </si>
  <si>
    <t>b)_Logro_10:</t>
  </si>
  <si>
    <t>c)_Cifras_10</t>
  </si>
  <si>
    <t>a)_Comuna_11:</t>
  </si>
  <si>
    <t>b)_Logro_11:</t>
  </si>
  <si>
    <t>c)_Cifras_11</t>
  </si>
  <si>
    <t>a)_Comuna_12:</t>
  </si>
  <si>
    <t>b)_Logro_12:</t>
  </si>
  <si>
    <t>c)_Cifras_12</t>
  </si>
  <si>
    <t>a)_Comuna_13:</t>
  </si>
  <si>
    <t>b)_Logro_13:</t>
  </si>
  <si>
    <t>c)_Cifras_13</t>
  </si>
  <si>
    <t>a)_Comuna_14:</t>
  </si>
  <si>
    <t>b)_Logro_14:</t>
  </si>
  <si>
    <t>c)_Cifras_14</t>
  </si>
  <si>
    <t>a)_Comuna_15:</t>
  </si>
  <si>
    <t>b)_Logro_15:</t>
  </si>
  <si>
    <t>c)_Cifras_15</t>
  </si>
  <si>
    <t>a)_Comuna_16:</t>
  </si>
  <si>
    <t>b)_Logro_16:</t>
  </si>
  <si>
    <t>c)_Cifras_16</t>
  </si>
  <si>
    <t>a)_Comuna_17:</t>
  </si>
  <si>
    <t>b)_Logro_17:</t>
  </si>
  <si>
    <t>c)_Cifras_17</t>
  </si>
  <si>
    <t>a)_Comuna_18:</t>
  </si>
  <si>
    <t>b)_Logro_18:</t>
  </si>
  <si>
    <t>c)_Cifras_18</t>
  </si>
  <si>
    <t>a)_Comuna_19:</t>
  </si>
  <si>
    <t>b)_Logro_19:</t>
  </si>
  <si>
    <t>c)_Cifras_19</t>
  </si>
  <si>
    <t>a)_Comuna_20:</t>
  </si>
  <si>
    <t>b)_Logro_20:</t>
  </si>
  <si>
    <t>c)_Cifras_20</t>
  </si>
  <si>
    <t>a)_Comuna_21:</t>
  </si>
  <si>
    <t>b)_Logro_21:</t>
  </si>
  <si>
    <t>c)_Cifras_21</t>
  </si>
  <si>
    <t>Gerencia de Diversidades Sexuales e Identidades de Género</t>
  </si>
  <si>
    <t>10-LA CANDELARIA</t>
  </si>
  <si>
    <t>06-DOCE DE OCTUBRE</t>
  </si>
  <si>
    <t>90-SANTA ELENA</t>
  </si>
  <si>
    <t>14-EL POBLADO</t>
  </si>
  <si>
    <t>Departamento Administrativo de Planeación</t>
  </si>
  <si>
    <t>01-POPULAR</t>
  </si>
  <si>
    <t>N/A</t>
  </si>
  <si>
    <t>Secretaría de las Mujeres</t>
  </si>
  <si>
    <t>07-ROBLEDO</t>
  </si>
  <si>
    <t>Secretaría de Desarrollo Económico</t>
  </si>
  <si>
    <t>13-SAN JAVIER</t>
  </si>
  <si>
    <t>04-ARANJUEZ</t>
  </si>
  <si>
    <t>11-LAURELES</t>
  </si>
  <si>
    <t>08-VILLA HERMOSA</t>
  </si>
  <si>
    <t>sin cifras</t>
  </si>
  <si>
    <t>05-CASTILLA</t>
  </si>
  <si>
    <t>Secretaría de Gestión y Control Territorial</t>
  </si>
  <si>
    <t>60-SAN CRISTOBAL</t>
  </si>
  <si>
    <t>Secretaría de Medio Ambiente</t>
  </si>
  <si>
    <t>03-MANRIQUE</t>
  </si>
  <si>
    <t>16-BELEN</t>
  </si>
  <si>
    <t>70-ALTAVISTA</t>
  </si>
  <si>
    <t>50-PALMITAS</t>
  </si>
  <si>
    <t>Secretaría General</t>
  </si>
  <si>
    <t>Secretaría de Evaluación y Control</t>
  </si>
  <si>
    <t>-</t>
  </si>
  <si>
    <t>Secretaría de Seguridad y Convivencia</t>
  </si>
  <si>
    <t>02-SANTA CRUZ</t>
  </si>
  <si>
    <t>12-LA AMERICA</t>
  </si>
  <si>
    <t>15-GUAYABAL</t>
  </si>
  <si>
    <t>80-SAN ANTONIO DE PRADO</t>
  </si>
  <si>
    <t>Secretaría de la Juventud</t>
  </si>
  <si>
    <t>Gerencia del Centro</t>
  </si>
  <si>
    <t>Gerencia de Etnias</t>
  </si>
  <si>
    <t>Secretaría de Educación</t>
  </si>
  <si>
    <t>Secretaría de Gestión Humana y Servicio a la Ciudadanía</t>
  </si>
  <si>
    <t>Buen Comienzo</t>
  </si>
  <si>
    <t>Secretaria de Innovación Digital</t>
  </si>
  <si>
    <t>Secretaría de Inclusión, Familia y Derechos Humanos</t>
  </si>
  <si>
    <t>Gerencia de Corregimientos</t>
  </si>
  <si>
    <t>Secretaría de Cultura Ciudadanía</t>
  </si>
  <si>
    <t>Secretaría de Infraestructura Física</t>
  </si>
  <si>
    <t>Secretaría de Movilidad</t>
  </si>
  <si>
    <t>.</t>
  </si>
  <si>
    <t>Secretaría de Salud</t>
  </si>
  <si>
    <t>Departamento Administrativo de Gestión del Riesgo de Desastres</t>
  </si>
  <si>
    <t>Sin dato</t>
  </si>
  <si>
    <t>Secretaría de Participación Ciudadana</t>
  </si>
  <si>
    <t>Secretaría de Servicios y Suministros</t>
  </si>
  <si>
    <t>Comuna</t>
  </si>
  <si>
    <t>Nombre</t>
  </si>
  <si>
    <t>Fecha</t>
  </si>
  <si>
    <t>Dependencia</t>
  </si>
  <si>
    <t>Logro</t>
  </si>
  <si>
    <t>Cifras</t>
  </si>
  <si>
    <t>Ordenador</t>
  </si>
  <si>
    <t>Cargo</t>
  </si>
  <si>
    <t>Cod_dep</t>
  </si>
  <si>
    <t>cod_comuna</t>
  </si>
  <si>
    <t>09-BUENOS AIRES</t>
  </si>
  <si>
    <t>Secretraría de Comunicaciones</t>
  </si>
  <si>
    <t>203023</t>
  </si>
  <si>
    <t>SD</t>
  </si>
  <si>
    <t>203662</t>
  </si>
  <si>
    <t>203770</t>
  </si>
  <si>
    <t>203830</t>
  </si>
  <si>
    <t>Se espera contar con la participación de 20 jóvenes.</t>
  </si>
  <si>
    <t>203831</t>
  </si>
  <si>
    <t>203863</t>
  </si>
  <si>
    <t>203880</t>
  </si>
  <si>
    <t>203905</t>
  </si>
  <si>
    <t>203928</t>
  </si>
  <si>
    <t>203937</t>
  </si>
  <si>
    <t>203939</t>
  </si>
  <si>
    <t>203945</t>
  </si>
  <si>
    <t>204005</t>
  </si>
  <si>
    <t>204013</t>
  </si>
  <si>
    <t>204033</t>
  </si>
  <si>
    <t>0</t>
  </si>
  <si>
    <t>204084</t>
  </si>
  <si>
    <t>204110</t>
  </si>
  <si>
    <t>204113</t>
  </si>
  <si>
    <t>204126</t>
  </si>
  <si>
    <t>204139</t>
  </si>
  <si>
    <t>2021-10-15</t>
  </si>
  <si>
    <t>Secretaría de Comunicaciones</t>
  </si>
  <si>
    <t>204152</t>
  </si>
  <si>
    <t>204165</t>
  </si>
  <si>
    <t>204178</t>
  </si>
  <si>
    <t>comunicación constante con las personas trans que están en la zona del velódromo, y establecer la posibilidad de encuentro dialógico para resolver la problemática que se tiene con la comunidad.</t>
  </si>
  <si>
    <t>Se estableció contacto con 5 chicas de la zona, tener presente que esta zona solo tiene 8 personas máximo 10 las cuales ejercen la prostitución y la zona que usan para estar con los clientes es la canalización y dos cuadras arriba de la zona,  así mismo son  fluctuantes en la participación que tienen en el territorio.</t>
  </si>
  <si>
    <t xml:space="preserve">Formación y sensibilización a personal metro que tiene contacto con población tanto para el metro como para los y las funcionarias de la alcaldía </t>
  </si>
  <si>
    <t>se aumenta el personal del metro sensibilizado para este año van mas de 150 funcionarios de esta empresa. En el proceso de formación virtual con servidores de la alcaldía participaron en la segunda sesión 74 funcionarios  temas sexo genero.</t>
  </si>
  <si>
    <t>Procesos de formación para activistas LGBTI</t>
  </si>
  <si>
    <t>30 personas en este proceso hasta el mes de diciembre.</t>
  </si>
  <si>
    <t xml:space="preserve">Recuperación de espacios y predios públicos, atreves de los diferentes procesos de remoción, 4 predios,        total:70 M2 recuperados. </t>
  </si>
  <si>
    <t xml:space="preserve">Recuperación de espacios y predios públicos, atreves de los diferentes procesos de remoción, 2 predios,        total:90 M2 recuperados. </t>
  </si>
  <si>
    <t xml:space="preserve">Recuperación de espacios y predios públicos, atreves de los diferentes procesos de remoción, 6 predios,        total:60 M2 recuperados. </t>
  </si>
  <si>
    <t xml:space="preserve">Recuperación de espacios y predios públicos, atreves de los diferentes procesos de remoción, 8 predios,        total:315 M2 recuperados. </t>
  </si>
  <si>
    <t xml:space="preserve">Recuperación de espacios y predios públicos, atreves de los diferentes procesos de remoción, 6  predios,        total:172 M2 recuperados. </t>
  </si>
  <si>
    <t>Se realizó en articulación con Departamento de Prosperidad Social (DPS) del Gobierno Nacional, el proyecto Manos que Alimentan en el corregimiento de San Antonio de Prado.</t>
  </si>
  <si>
    <t>52 beneficiados</t>
  </si>
  <si>
    <t>Se realizó en articulación con Departamento de Prosperidad Social (DPS) del Gobierno Nacional, el proyecto Manos que Alimentan en el corregimiento de San Cristóbal.</t>
  </si>
  <si>
    <t>402 beneficiados</t>
  </si>
  <si>
    <t xml:space="preserve">Se realizó en articulación con Departamento de Prosperidad Social (DPS) del Gobierno Nacional, el proyecto Manos que Alimentan en el corregimiento de San Sebastián de Palmitas </t>
  </si>
  <si>
    <t>149 beneficiados</t>
  </si>
  <si>
    <t>Se realizó en articulación con Departamento de Prosperidad Social (DPS) del Gobierno Nacional, el proyecto Manos que Alimentan en el corregimiento de Santa Elena.</t>
  </si>
  <si>
    <t>53 beneficiados</t>
  </si>
  <si>
    <t>Se reinició el procedimiento para definir responsabilidad por el código de infracción D12 "Conducir un vehículo que, sin la debida autorización, se destine a un servicio diferente de aquel para el cual tiene licencia de tránsito. Además, el vehículo será inmovilizado por primera vez, por el término de cinco días, por segunda vez veinte días y por tercera vez cuarenta días". Se realizó la publicación del concurso de méritos para la supervisión del convenio UNE. 	
Se emitió concepto para la implementación de buses eléctricos
Se tienen lista la programación de actividades para dar inicio a la ejecución del Contrato de Señalización Vial.
Durante la semana se realizaron diferentes intervenciones en empresas Se participó en la semana de salud en la empresa Auteco Mobillity con capacitación para empleados y estrategias lúdica, capacitación a conductores de la empresa Cootransmallat y empresa Sigma. Se sensibilizó con ello un total de 409 personas.
Con las intervenciones en sectores de mayor riesgo de incidentalidad en la ciudad se logró durante esta semana intervenir un total de 2.853 personas, en lo que va del año la cifra es de 65.387 personas.	
Se están realizando intervenciones en Instituciones Educativas – Jardines Buen comienzo, durante la semana se realizaron actividades en las que participaron 185 niños y niñas de jardines infantiles y 647 de Instituciones educativas.	
La Secretaria de Movilidad a través de los Agentes de tránsito y en articulación con el área Metropolitana continúan con los controles a las  emisiones contaminantes a fuentes móviles.
Apertura peatonal San Ignacio</t>
  </si>
  <si>
    <t>13 de octubre: primer encuentro con jóvenes del grado 10º del Inem en formación de agentes protectores</t>
  </si>
  <si>
    <t>Se espera contar con la participación de 30 estudiantes.</t>
  </si>
  <si>
    <t>13 de octubre: socializar y articular la oferta de la secretaria a cada una de las entidades participantes de la mesa interinstitucional de la C6</t>
  </si>
  <si>
    <t>16 de octubre: ciclo formativo economía circular con énfasis en reciclaje</t>
  </si>
  <si>
    <t>Se espera contar con la participación de 130 jóvenes.</t>
  </si>
  <si>
    <t>13 de octubre: formar a las y los jóvenes del proyecto Seres del Agua en la temática de cambio climático.</t>
  </si>
  <si>
    <t>11 de octubre: feria Institucional UNAULA	Acompañamiento en la feria institucional realizada en la Universidad Autónoma Latinoamericana con el fin de exponer los programas de la Secretaría.</t>
  </si>
  <si>
    <t>Contamos con la participación de 40 jóvenes</t>
  </si>
  <si>
    <t xml:space="preserve">El día 8 de octubre el Banco de las Oportunidades, se acompaña al programa ISVIMED en el evento que se realizó en la comuna 13, allí llevamos toda nuestra oferta de servicios de crédito y educación financiera, tanto del Banco, como del programa de la Red de Apoyo Financiero-RAF, para continuar con la reactivación económica. </t>
  </si>
  <si>
    <t>Se avanza en las reuniones de preparación con las comunas 13 y 16, en la estrategia “un Banco en mi comuna” y acercamiento con el Corregimiento de Santa Elena.</t>
  </si>
  <si>
    <t>Se llevo a cabo evento en la comuna 6 de la ciudad, donde se tuvo feria de servicios con diferentes dependencias de la administración, se contó con la participación de 6 empresarios de CHM y lograron ventas por más de 1 millón de pesos</t>
  </si>
  <si>
    <t xml:space="preserve">Los días 14 y 15 de octubre se llevará a cabo la Vitrina Campesina en la Terminal del Norte, desde las 9:00 am a las 3:00 pm, en la cual tendremos 8 participantes productores. </t>
  </si>
  <si>
    <t xml:space="preserve">-	El 8 de octubre a partir de las 9:00 a.m., se brindó acompañamiento en oferta institucional convocada por la mesa de primera infancia de la comuna 1, en la cancha cubierta de Rancho Verde Institución Educativa Fe y Alegría No. 2, ubicada en la carrera 30 # 110b-24, Santo Domingo (comuna 1), con el fin de ofertar a la comunidad algunos servicios de la Casa de Justicia Santo Domingo, a través de la Personería, Migración Colombia y la Inspección de Policía.
-	El viernes 8 de octubre, de 8:00 a.m., a 12 m., se realizó en la Casa de Justicia Santo Domingo en articulación con Buen Comienzo, unas actividades lúdicas de lectura de cuentos con los niños, niñas y jóvenes, quienes además conocieron qué son las Casas de Justicia y qué servicios prestan.
-	El 5 de octubre en el barrio Popular 1 la Esperanza, se realiza socialización de Código Nacional de Seguridad y Convivencia, buscando mitigar comportamientos contrarios a la convivencia como ruido y perturbación a la tranquilidad, mal manejo de residuos sólidos y ocupación indebida del espacio público. 
-	El 7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realizaron mediciones de ruido de forma pedagogía con el ingeniero de sonido del programa. 
-	Se avanza en  plan de supervisión del contrato 4600091659 de 2021 - Presupuesto Participativo con  la Empresa Metroparques para la ejecución de los recursos de PL y PP 2.021. Inversión $2.604.762.199, correspondiente a las comunas: 1-Popular, 04 Aranjuez, 10 La Candelaria, y 80 Corregimiento de San Antonio de Prado. (Pendiente la firma del acta de inicio)
</t>
  </si>
  <si>
    <t xml:space="preserve">-	El 8 de octubre a partir de las 9:00 a.m., se brindó acompañamiento en oferta institucional convocada por la mesa de primera infancia de la comuna 1, en la cancha cubierta de Rancho Verde Institución Educativa Fe y Alegría No. 2, ubicada en la carrera 30 # 110b-24, Santo Domingo (comuna 1), con el fin de ofertar a la comunidad algunos servicios de la Casa de Justicia Santo Domingo, a través de la Personería, Migración Colombia y la Inspección de Policía, beneficiándose a 110 personas.
-	El viernes 8 de octubre, de 8:00 a.m., a 12 m., se realizó en la Casa de Justicia Santo Domingo en articulación con Buen Comienzo, unas actividades lúdicas de lectura de cuentos con los niños, niñas y jóvenes, quienes además conocieron qué son las Casas de Justicia y qué servicios prestan, impactándose a 80 personas.
-	El 5 de octubre en el barrio Popular 1 la Esperanza, se realiza socialización de Código Nacional de Seguridad y Convivencia, buscando mitigar comportamientos contrarios a la convivencia como ruido y perturbación a la tranquilidad, mal manejo de residuos sólidos y ocupación indebida del espacio público. Personas impactada: 60. 
-	El 7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realizaron mediciones de ruido de forma pedagogía con el ingeniero de sonido del programa. Se visitaron 5 establecimientos de comercio.
</t>
  </si>
  <si>
    <t xml:space="preserve">-	Se realiza carrusel pedagógico interinstitucional en prevención del delito, fortaleciendo la prevención en venta y consumo de estupefacientes, uso e instrumentalización de menos, autocuidado y corresponsabilidad social.  
-	Se genera articulación para minimizar efectos de alerta en el barrio Santa Cruz, brindando a la comunidad charla educativa en OPE.
-	Se realiza chala educativa con comerciantes en articulación con la JAC Andalucía en prevención venta y consumo estupefacientes.
-	Se crean 2 Redes de apoyo comunitaria en prevención del delito en el barrio la Francia y barrio Santa Cruz con grupos formados en procesos pedagógicos de prevención de las problemáticas de seguridad y convivencia. 
</t>
  </si>
  <si>
    <t xml:space="preserve">-	Se realiza carrusel pedagógico interinstitucional en prevención del delito, fortaleciendo la prevención en venta y consumo de estupefacientes, uso e instrumentalización de menos, autocuidado y corresponsabilidad social.  Se sensibiliza a 56 estudiantes de los grados 9.
-	Se genera articulación para minimizar efectos de alerta en el barrio Santa Cruz, brindando a la comunidad charla educativa en OPE, se articula 10 personas.
-	Se realiza chala educativa con comerciantes en articulación con la JAC Andalucía en prevención venta y consumo estupefacientes, se sensibiliza a 22 personas.
-	Se crean 2 Redes de apoyo comunitaria en prevención del delito en el barrio la Francia y barrio Santa Cruz con grupos formados en procesos pedagógicos de prevención de las problemáticas de seguridad y convivencia. participan 30 personas.
</t>
  </si>
  <si>
    <t xml:space="preserve">-	Actividad preventiva para hurto de Motocicletas en Manrique Central 
-	El 6 de octubre en el barrio Las granjas en articulación con junta de acción comunal, policía vecindario y secretaría de seguridad y convivencia, se realizó un encuentro comunitario con el objetivo de sensibilizar sobre los comportamientos contrarios a la convivencia. Con la estrategia "ponte en los zapatos del otro" logrando el trabajo en equipo de líderes, grupo del adulto mayor y la interistitucionalidad. 
-	El 7 de octubre en el barrio Las granjas en el marco del plan de acción especial, la Unidad de Convivencia realiza actividad pedagógica y socialización del código nacional de seguridad y convivencia a través de una tarde de película permitiéndonos reflexionar con la comunidad sobre la violencia intrafamiliar y de género, ya que en este sector se presentó recientemente un homicidio por convivencia. 
</t>
  </si>
  <si>
    <t xml:space="preserve">-	Actividad preventiva para hurto de Motocicletas en Manrique Central se impactaron aproximadamente 50 personas en población flotante.
-	El 6 de octubre en el barrio Las granjas en articulación con junta de acción comunal, policía vecindario y secretaría de seguridad y convivencia, se realizó un encuentro comunitario con el objetivo de sensibilizar sobre los comportamientos contrarios a la convivencia. Con la estrategia "ponte en los zapatos del otro" logrando el trabajo en equipo de líderes, grupo del adulto mayor y la interistitucionalidad. Participaron 25 personas.
-	El 7 de octubre en el barrio Las granjas en el marco del plan de acción especial, la Unidad de Convivencia realiza actividad pedagógica y socialización del código nacional de seguridad y convivencia a través de una tarde de película permitiéndonos reflexionar con la comunidad sobre la violencia intrafamiliar y de género, ya que en este sector se presentó recientemente un homicidio por convivencia. Personas impactadas: 100.
</t>
  </si>
  <si>
    <t xml:space="preserve">-	En una intervención con el apoyo de la PONAL se logró recuperar el espacio público que por denuncias de la comunidad tenían problemática de cambuches.  
-	Se realizaron 5 jornadas de Promoción de Rutas de Atención y Mecanismos de Defensa de los DDHH y la Convivencia, durante la semana del 4 al 10 de octubre, de 9:00 a.m. a 3:00 p.m., en mesas de atención ubicadas al lado de la puerta de acceso principal de la Casa de Justicia El Bosque.
-	El 7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realizaron mediciones de ruido de forma pedagogía con el ingeniero de sonido del programa. 
-	Se avanza en  plan de supervisión del contrato 4600091659 de 2021 - Presupuesto Participativo con  la Empresa Metroparques para la ejecución de los recursos de PL y PP 2.021. Inversión $2.604.762.199, correspondiente a las comunas: 1-Popular, 04 Aranjuez, 10 La Candelaria, y 80 Corregimiento de San Antonio de Prado. (Pendiente la firma del acta de inicio)
</t>
  </si>
  <si>
    <t xml:space="preserve">-	Se realizaron 5 jornadas de Promoción de Rutas de Atención y Mecanismos de Defensa de los DDHH y la Convivencia, durante la semana del 4 al 10 de octubre, de 9:00 a.m. a 3:00 p.m., en mesas de atención ubicadas al lado de la puerta de acceso principal de la Casa de Justicia El Bosque, beneficiándose 230 personas.
-	El 7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realizaron mediciones de ruido de forma pedagogía con el ingeniero de sonido del programa. Se visitaron 5 establecimientos de comercio.
</t>
  </si>
  <si>
    <t>-	El Subsecretario de Gobierno Local y convivencia, el Personal de la Unidad de Convivencia (Promotores Locales de Gobierno, Medellín Convive la Noche) y la Policía Nacional, en atención a quejas ciudadanas manifestadas por la presidenta de la Junta de Acción Comunal del Barrio Girardot Castilla (comuna 5), realiza recorrido por el sector comercial conocido como Gratamira con el propósito de verificar el cumplimiento de requisitos de funcionamiento de establecimientos de comercio con actividad económica Venta y Consumo de licor, hacer pedagogía sobre los niveles de ruido permitidos y de ser necesario. En este recorrido se visitan 5 establecimientos de comercio de los cuales 2 fueron cerrados preventivamente y a uno se le impuso medida correctiva por 5 días por incumplir con los requisitos establecidos en la Ley 1801 de 2016.</t>
  </si>
  <si>
    <t>-	Realización de actividades preventivas contra el hurto y violencias asociadas a NNAJ.
-	Se realiza campaña pedagógica fortaleciendo el autocuidado y prevención de la violencia contra la mujer.
-	Se participa en el taller de imaginarios con la intervención preventiva de seguridad para prever acciones acerca de violencia sexual contra la mujer.
-	El 7 de octubre se realiza reunión presencial para brindar rutas de atención a un caso ciudadano por extorsión asociada a la Policía del Doce de Octubre.
-	Campaña pedagógica sobre la prevención del uso, vinculación instrumentalización y/o reclutamiento de NNAJ.
-	El 9 de octubre se realiza socialización de rutas de atención y denuncia con la comunidad en general para prevenir las extorsiones, hurtos e instrumentalización de menores de edad.</t>
  </si>
  <si>
    <t xml:space="preserve">-	Realización de actividades preventivas contra el hurto y violencias asociadas a NNAJ aproximadamente 100 personas el 5 de octubre.
-	Se realiza campaña pedagógica fortaleciendo el autocuidado y prevención de la violencia contra la mujer con aproximadamente 50 personas el 6 de octubre.
-	Se participa en el taller de imaginarios con la intervención preventiva de seguridad para prever acciones acerca de violencia sexual contra la mujer con aproximadamente 80 personas.
-	El 7 de octubre se realiza reunión presencial para brindar rutas de atención a un caso ciudadano por extorsión asociada a la Policía del Doce de Octubre.
-	Campaña pedagógica sobre la prevención del uso, vinculación instrumentalización y/o reclutamiento de NNAJ, se impacta alrededor de 300 personas.
</t>
  </si>
  <si>
    <t xml:space="preserve">-	Continuidad del frente de seguridad con los comerciantes de San Germán sector Tierra Firme.
-	El 6 de octubre en la Institución Educativa  Santa Margarita, se realizó Consejo de Convivencia Ciudadana con las diferentes dependencias: Inspección, Comandante Ponal, Gestor de seguridad, Secretaría de Gobierno, Subsecretaría de Derechos Humanos, Secretaria de la Juventud ,psicóloga institución de Entornos Protectores , Subsecretaría de la Mujer  Secretaria de Educación, Gestor  de Seguridad y Promotor Local de Gobierno, con el fin de promover acciones que mitiguen los problemas de seguridad y Convivencia al rededor del entorno escolar. 
-	El 08 de octubre en el en el sector San Germán, se realizó una Jornada pedagógica de sensibilización a la comunidad y especialmente a comerciantes y comensales sobre el uso adecuado del espacio público para mitigar el comportamiento contrario a la convivencia como el mal parqueo de vehículos. 
-	El 7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realizaron mediciones de ruido de forma pedagogía con el ingeniero de sonido del programa.
</t>
  </si>
  <si>
    <t xml:space="preserve">-	El 6 de octubre en la Institución Educativa  Santa Margarita, se realizó Consejo de Convivencia Ciudadana con las diferentes dependencias: Inspección, Comandante Ponal, Gestor de seguridad, Secretaría de Gobierno, Subsecretaría de Derechos Humanos, Secretaria de la Juventud ,psicóloga institución de Entornos Protectores , Subsecretaría de la Mujer  Secretaria de Educación, Gestor  de Seguridad y Promotor Local de Gobierno, con el fin de promover acciones que mitiguen los problemas de seguridad y Convivencia al rededor del entorno escolar. Participantes 18 personas.
-	El 08 de octubre en el en el sector San Germán, se realizó una Jornada pedagógica de sensibilización a la comunidad y especialmente a comerciantes y comensales sobre el uso adecuado del espacio público para mitigar el comportamiento contrario a la convivencia como el mal parqueo de vehículos. Personas impactadas: 30. 
-	El 7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realizaron mediciones de ruido de forma pedagogía con el ingeniero de sonido del programa. Se visitaron 5 establecimientos de comercio.
</t>
  </si>
  <si>
    <t xml:space="preserve">-	El 8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t>
  </si>
  <si>
    <t>-	El 8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Se Visitaron 6 establecimientos de comercio.</t>
  </si>
  <si>
    <t xml:space="preserve">-	Se realizaron sensibilizaciones pedagógicas y socialización del aprovechamiento económico en el sector de Ayacucho.
-	Jornada de limpieza en el sector de la calle 35 con carrera 16, con el fin de recuperar el espacio público que está siendo usado para consumo de estupefacientes el día 2 de octubre.
-	El 5 de octubre se realizó taller dirigido a las madres de familia de los alumnos del Hogar Infantil "Los Caunces", en derecho a una vida libre de violencias, explicando los tipos de violencias con ejemplos respectivos y las rutas de atención. Además, se socializó información de jornada de valoración nutricional a niños y niñas en la ciudad de Medellín. 
-	Reunión mensual el 6 de octubre con los funcionarios de las diferentes entidades de la Administración Municipal para definir próximas intervenciones en el territorio.
-	El 7 de octubre realizamos recorrido de campo para caracterización económica de los barrios de influencia directa de los Metrocables y Tranvía (Comunas 8 y 9). (
-	El 8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t>
  </si>
  <si>
    <t xml:space="preserve">-	Se realizaron 23 sensibilizaciones pedagógicas y socialización del aprovechamiento económico en el sector de Ayacucho.
-	Jornada de limpieza en el sector de la calle 35 con carrera 16, con el fin de recuperar el espacio público que está siendo usado para consumo de estupefacientes el día 2 de octubre (Participan 25 personas entre comunidad y funcionarios).
-	El 5 de octubre se realizó taller dirigido a las madres de familia de los alumnos del Hogar Infantil "Los Caunces", en derecho a una vida libre de violencias, explicando los tipos de violencias con ejemplos respectivos y las rutas de atención. Además, se socializó información de jornada de valoración nutricional a niños y niñas en la ciudad de Medellín. (Participan 13 madres, 1 funcionaria de Secretaría de la Mujer y Gestora Territorial de Seguridad Comuna 9).
-	Reunión mensual el 6 de octubre con los funcionarios de las diferentes entidades de la Administración Municipal para definir próximas intervenciones en el territorio participaron 22 funcionarios de las diversas entidades de la Alcaldía de Medellín.
-	El 7 de octubre realizamos recorrido de campo para caracterización económica de los barrios de influencia directa de los Metrocables y Tranvía (Comunas 8 y 9). (Participan practicante de planeación territorial, promotor comuna 8, promotor comuna 9 y Gestora Territorial de Seguridad Comuna 9).
-	El 8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Se Visitaron 6 establecimientos de comercio.
</t>
  </si>
  <si>
    <t xml:space="preserve">-	El 6 de octubre en los  barrios Bomboná 1, Las Palmas, San Diego se realizó Consejo de Convivencia Ciudadana, para crear acuerdos de Convivencia y Seguridad Ciudadana. Este compromiso fue adquirido en el Comité Local de Gobierno. Acompañaron esta actividad, la Inspección 10b y 10d, Emvarias, Comandante Ponal, Secretaría de Gobierno, Subsecretaría de Espacio Público, Policía Preci, Gestora de Seguridad y Promotor Local de Gobierno. 
-	El 7 de octubre en sector de Guayaquil - edificio Vásquez, se llevó a cabo el acompañamiento en la Mesa Estratégica del centro, donde se informa la gestión que hace el Promotor Local de Gobierno en el tema de mala destinación de residuos y uso indebido del espacio público. 
-	El 8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	Se avanza en  plan de supervisión del contrato 4600091659 de 2021 - Presupuesto Participativo con  la Empresa Metroparques para la ejecución de los recursos de PL y PP 2.021. Inversión $2.604.762.199, correspondiente a las comunas: 1-Popular, 04 Aranjuez, 10 La Candelaria, y 80 Corregimiento de San Antonio de Prado. (Pendiente la firma del acta de inicio)
</t>
  </si>
  <si>
    <t xml:space="preserve">-	El 6 de octubre en los  barrios Bomboná 1, Las Palmas, San Diego se realizó Consejo de Convivencia Ciudadana, para crear acuerdos de Convivencia y Seguridad Ciudadana. Este compromiso fue adquirido en el Comité Local de Gobierno. Acompañaron esta actividad, la Inspección 10b y 10d, Emvarias, Comandante Ponal, Secretaría de Gobierno, Subsecretaría de Espacio Público, Policía Preci, Gestora de Seguridad y Promotor Local de Gobierno. Participaron 15 personas.
-	El 7 de octubre en sector de Guayaquil - edificio Vásquez, se llevó a cabo el acompañamiento en la Mesa Estratégica del centro, donde se informa la gestión que hace el Promotor Local de Gobierno en el tema de mala destinación de residuos y uso indebido del espacio público. Se impactan 35 personas.
-	El 8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Se Visitaron 6 establecimientos de comercio.
</t>
  </si>
  <si>
    <t xml:space="preserve">-	Implementación de la campaña auditiva de la jurisdicción "seguro te aseguras" con el fin de brindar recomendaciones que permita prevenir situaciones de vulnerabilidad ante un hurto a vehículos
-	Fortalecimiento de Frentes de Seguridad mediante la creación de redes de apoyo contra el hurto a personas.
-	Reunión zona 4 para lograr dar a conocer la importancia del trabajo territorial por medio de la citación de la subsecretaria operativa encargada.
-	Recorrido interinstitucional para mitigar la problemática de seguridad y convivencia reportada por la comunidad por medio de los organismos de control y justicia en el sector del velódromo.
-	Comité con instituciones educativas privadas y públicas de la comuna 11 junto al jefe de núcleo para realizar articulación con las entidades educativas del sector público y privado, con el fin de contribuir con la seguridad de la comuna por medio de la prevención a NNAJ.
-	Encuentro comunitario de procesos de seguridad para dar a conocer el proceso llevado a cabo con casos específicos reportados relacionados a seguridad durante la iniciación de las labores de dicha comuna. Asimismo, identificar nuevas problemáticas de seguridad para lograr intervenir a solicitud de la comunidad.
-	Reunión con líder comunitaria para dar a conocer el proceso llevado a cabo con casos específicos reportados relacionados a seguridad durante la iniciación de las labores de dicha comuna. Asimismo, identificar nuevas problemáticas de seguridad para lograr intervenir
-	Implementación de puestos de control, con el fin de mitigar problemáticas de seguridad y como acto preventivo de casos de hurto. Además, permite generar control y regulación a la norma. 
-	"Evita ser cómplice del silencio" Campañas Informativa que permita motivar a la denuncia y prevenir el consumo y venta de estupefacientes.
-	Capacitación a presidentes de las JACS de la comuna 11 frente los procesos de seguridad.
-	El 5 de octubre en el barrio Velódromo se realizó acercamiento comunitario, para mitigar los comportamientos contrarios a la convivencia, tales como exhibicionismo y actos sexuales en vía pública, ruido y perturbación a la tranquilidad ciudadana. Se adquiere compromiso de trabajo entre la comunidad residente y la comunidad LGTBI en articulación con la Gerencia de Diversidad, Secretaria de Inclusión Social y la Unidad de Convivencia.  
-	El 7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realizaron mediciones de ruido de forma pedagogía con el ingeniero de sonido del programa. 
-	Se visitó la Av 33 entre carreras 76 y 78, con el propósito de verificar el horario de cierre de los establecimientos de comercio que no pertenecen al programa Medellín Convive la Noche, el cual está establecido en el sector hasta las 2:00 am ya que se trata de un corredor de alta mixtura. 
</t>
  </si>
  <si>
    <t xml:space="preserve">-	El 5 de octubre en el barrio Velódromo se realizó acercamiento comunitario, para mitigar los comportamientos contrarios a la convivencia, tales como exhibicionismo y actos sexuales en vía pública, ruido y perturbación a la tranquilidad ciudadana. Se adquiere compromiso de trabajo entre la comunidad residente y la comunidad LGTBI en articulación con la Gerencia de Diversidad, Secretaria de Inclusión Social y la Unidad de Convivencia. Participantes 15 personas  
-	El 7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realizaron mediciones de ruido de forma pedagogía con el ingeniero de sonido del programa. Se visitaron 5 establecimientos de comercio.
-	Se visitó la Av 33 entre carreras 76 y 78, con el propósito de verificar el horario de cierre de los establecimientos de comercio que no pertenecen al programa Medellín Convive la Noche, el cual está establecido en el sector hasta las 2:00 am ya que se trata de un corredor de alta mixtura. Se visitan 11 establecimientos de comercio de los cuales 1 quebrantó el horario permitió y por parte de la inspección de Permanencia, se procedió a citar a audiencia. 
</t>
  </si>
  <si>
    <t xml:space="preserve">-	La jornada de descongestión que se viene desarrollando en la Inspección 13 de Policía, al 30 de septiembre de 2021. 
-	En la noche del domingo 10 de octubre de 2021, personal de la Unidad de Convivencia Ciudadana (Promotor Local de Gobierno, Convive la Noche y Analistas de Convivencia) en compañía de Subsecretario de Gobierno Local y Convivencia, hace presencia en el conjunto residencial Torres de Marcella ubicada en la Comuna 13 (San Javier), según compromisos adquiridos en el anterior Consejo de Convivencia Ciudadana en el que se manifestó perturbación a la tranquilidad y al descanso por excesos de ruido generados desde el conjunto residencial Mirador de Calazans.
-	Se realiza visita a un apartamento residencial en el conjunto Marsella con el propósito de valorar preventivamente la afectación del ruido de inmisión y contrastar los resultados obtenidos con los límites máximos permitidos en la resolución 8321 de 1983. Posteriormente, se procede a desplazar al al conjunto residencial Mirador de Calazans y entablar contacto con los dueños de las “Chasas” donde se reproduce música y se expende licor. En este lugar se realiza sensibilización sobre el impacto de los altos niveles de ruido y se asesora a los comerciantes a darle un buen manejo al volumen de la música.
</t>
  </si>
  <si>
    <t>-	La jornada de descongestión que se viene desarrollando en la Inspección 13 de Policía, al 30 de septiembre de 2021 se han evacuado 330 procesos de 2014-2019 logrando una descongestión del 48.3%.</t>
  </si>
  <si>
    <t xml:space="preserve">-	Se apoya el día viernes 8 de octubre el PMU Lleras y Provenza, donde se tuvo la visita del Personero Municipal, con el señor personero se realizó recorrido por Provenza y Lleras.
-	El 8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t>
  </si>
  <si>
    <t xml:space="preserve">-	Se apoya el día viernes 8 de octubre el PMU Lleras y Provenza, donde se tuvo la visita del Personero Municipal, con el señor personero se realizó recorrido por Provenza y Lleras visitando tres establecimientos.
-	El 8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Se Visitaron 6 establecimientos de comercio.
</t>
  </si>
  <si>
    <t>-	El viernes 8 de octubre se realizó un operativo integral de recuperación de la carrera 65 que estaba afectada por residuos, en articulación con Emvarias, Medio Ambiente y Policía.</t>
  </si>
  <si>
    <t xml:space="preserve">-   Plan Cambuches en diferentes sectores 
-	En trabajo conjunto con el Comité cívico de la Loma de Los Bernal, la subsecretaria operativa capacitó vigilantes que trabajan en las unidades residenciales de La loma en Ley 1801, prevención de hurto y extorsión. Con apoyo del Gaula y Red de apoyo de la Ponal. 
-	Reunión de articulación y socialización con los ediles de la JAL quienes han expresado preocupación por el aumento de hurtos y el aumento de ventas ambulantes por parte de migrantes venezolanos. Les socializamos el PISCC, el plan anual de seguridad y el plan de acción, así como los últimos indicadores del SISC. 
-	Fortalecimiento de la Mesa de DDHH de la comuna a través de un taller en el cual se socializaron los principales problemas de seguridad el plan local de seguridad y los principales indicadores del SISC.
-	El 8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t>
  </si>
  <si>
    <t xml:space="preserve">-	Durante el recorrido del Plan Cambuches en diferentes sectores se logró la sensibilización a 26 personas, se desmontaron 13 cambuches y el traslado de 45 elementos por parte de nuestro personal operativo.
-	En trabajo conjunto con el Comité cívico de la Loma de Los Bernal, la subsecretaria operativa capacitó a 120 vigilantes que trabajan en las unidades residenciales de La loma en Ley 1801, prevención de hurto y extorsión. Con apoyo del Gaula y Red de apoyo de la Ponal. 
-	El 8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Se Visitaron 6 establecimientos de comercio.
</t>
  </si>
  <si>
    <t xml:space="preserve">-	Se realiza encuentro con el colectivo de mujeres de la vereda La Sucia, en el cual se realiza taller sobre Violencia a NNAJ y VIF.
-	El 8 de octubre en la vereda la sucia, se realiza socialización de Código Nacional de Seguridad y Convivencia, es un llamado al cumplimiento de la norma y el compromiso ciudadano para la construcción de la convivencia.  
</t>
  </si>
  <si>
    <t>-	El 8 de octubre en la vereda la sucia, se realiza socialización de Código Nacional de Seguridad y Convivencia, es un llamado al cumplimiento de la norma y el compromiso ciudadano para la construcción de la convivencia.</t>
  </si>
  <si>
    <t xml:space="preserve">-	Se realizan acciones en el territorio contempladas en el plan de acción – PATS.
-	En articulación con la secretaria de espacio público y promotor local de gobierno de nuevo Occidente se logró despejar la vía de acceso a la Institución Educativa Santa Margarita, la cual venía siendo ocupada por un comerciante de verduras y frutas que con su vehículo ocupaba parte de la vía y con las canastas el paso peatonal, generando un peligro para el paso de los estudiantes y transeúntes del lugar. Dicha acción había sido un clamor de las directivas de la Institución Santa Margarita.
-	Se llevó a cabo reunión de la mesa Interinstitucional en la cual se escuchó a los presidentes de 8 JAC. Con respecto a sus problemáticas de seguridad.
-	El 5 de octubre en la Vereda El Llano, se realizó campaña pedagógica sobre la prevención a la violencia intrafamiliar, las riñas y demás expresiones de violencia que ponen en riesgo la vida. Generamos una reflexión sobre el respeto y la tolerancia e invitamos a usar los canales de denuncia necesarios para proteger la vida. 
-	El 7 de octubre en el sector El Hueco, de la vereda La Loma, se sensibiliza a la comunidad sobre los riesgos que implican las infracciones urbanísticas, las estafas inmobiliarias y la necesidad de cumplir con la norma  respetando  el Código Nacional de Seguridad y Convivencia en su artículo 135. Igualmente, en compañía del gestor de seguridad, realizamos campaña de prevención a la extorsión. 
-	Comuna Nuevo Occidente: el 5 de octubre en la unidad residencial el tirón de Ciudadela Nuevo Occidente, se realizó socialización de código nacional de seguridad y convivencia, es un llamado al cumplimiento de la norma y el compromiso ciudadano para la construcción de la convivencia. 
</t>
  </si>
  <si>
    <t xml:space="preserve">-	El 7 de octubre en el sector El Hueco, de la vereda La Loma, se sensibiliza a la comunidad sobre los riesgos que implican las infracciones urbanísticas, las estafas inmobiliarias y la necesidad de cumplir con la norma  respetando  el Código Nacional de Seguridad y Convivencia en su artículo 135. Igualmente, en compañía del gestor de seguridad, realizamos campaña de prevención a la extorsión. Personas Impactadas 60.
-	Comuna Nuevo Occidente: el 5 de octubre en la unidad residencial el tirón de Ciudadela Nuevo Occidente, se realizó socialización de código nacional de seguridad y convivencia, es un llamado al cumplimiento de la norma y el compromiso ciudadano para la construcción de la convivencia. Personas impactadas: 20
</t>
  </si>
  <si>
    <t>-	Actividad articulada con el C y 2 y los Escuchaderos en el sector de Morro Corazón, enfocada a rutas de denuncia, Prevención de uso e instrumentaliza uno de menores el miércoles 6 de octubre.</t>
  </si>
  <si>
    <t xml:space="preserve">-	El 5 de octubre en la urbanización Avellana en cumplimiento a compromisos con la comunidad se realizó el segundo encuentro con líderes, para promover la convivencia ciudadana ante conflictos entre ellas. Se presenta acuerdos de conciliación y la propuesta de activación de jornadas pedagógicas en este territorio. 
-	Se avanza en  plan de supervisión del contrato 4600091659 de 2021 - Presupuesto Participativo con  la Empresa Metroparques para la ejecución de los recursos de PL y PP 2.021. Inversión $2.604.762.199, correspondiente a las comunas: 1-Popular, 04 Aranjuez, 10 La Candelaria, y 80 Corregimiento de San Antonio de Prado. (Pendiente la firma del acta de inicio)
</t>
  </si>
  <si>
    <t>-	El 5 de octubre en la urbanización Avellana en cumplimiento a compromisos con la comunidad se realizó el segundo encuentro con líderes, para promover la convivencia ciudadana ante conflictos entre ellas. Se presenta acuerdos de conciliación y la propuesta de activación de jornadas pedagógicas en este territorio. Participaron 6 personas.</t>
  </si>
  <si>
    <t xml:space="preserve">-	Acercamiento con grupo de consumidores de estupefacientes para tratar temas de prevención y vincularlos a procesos comunitarios. 
-	Identificación de fundaciones que trabajan con NNAJ el 8 y 12 de octubre.
</t>
  </si>
  <si>
    <t xml:space="preserve">-	Acercamiento con grupo de consumidores de estupefacientes para tratar temas de prevención y vincularlos a procesos comunitarios. (Primer acercamiento, 7 de octubre, total personas 12)
-	Identificación de fundaciones que trabajan con NNAJ, (3 fundaciones con 120 personas en total) 8 y 12 de octubre.
</t>
  </si>
  <si>
    <t xml:space="preserve">Con éxito se terminaron las actividades previstas para ejecutar en el seminario nacional donde se contó con la participación de 81.499 entre actividades previas y el ejercicio dispuesto para el 07 de octubre. 
</t>
  </si>
  <si>
    <t>Todo el Municipio</t>
  </si>
  <si>
    <t>Articulación con instituciones educativas con el fin de proporcionar conocimiento en materia de GRD, de acuerdo a los ejes temáticos que tenemos definidos.
Participación en las mesas interinstitucionales.</t>
  </si>
  <si>
    <t>Sin Dato</t>
  </si>
  <si>
    <t xml:space="preserve">"Articulación con JIBC con el fin de proporcionar conocimiento en materia de GRD, de acuerdo a los ejes temáticos que tenemos definidos.
Participación en las mesas interinstitucionales. </t>
  </si>
  <si>
    <t xml:space="preserve">Acompañamiento a la Cuarta Brigada con taller para el Marco de actuación en evacuación de instalaciones, esta capacitación se hizo en compañía del COBM y estuvo dirigida a más de 30 Oficiales y subuoficiales encargados de los temas relacionados con emergencias en cada uno de los cantones. </t>
  </si>
  <si>
    <t>Articulación con JIBC con el fin de proporcionar conocimiento en materia de GRD, de acuerdo a los ejes temáticos que tenemos definidos
Participación en las mesas interinstitucionales. Comuna 70</t>
  </si>
  <si>
    <t xml:space="preserve">Taller de evacuación, proyecto bello oriente. El cual será realizado mancomunadamente con inform@risk. Comuna 4
</t>
  </si>
  <si>
    <t>Presencia en Medios y Redes</t>
  </si>
  <si>
    <t>publicaciones producidas y realizadas en la semana
•	Se emiten 5 microprogramas y un programa sobre el Territorio Creativo
•	Publicación en redes sociales Mesa del Territorio Comercial 
•	Publicación en redes sociales sobre Diálogos por un Centro ConSentido para el Territorio Histórico 
•	Publicación en redes sociales sobre Feria de Sapiencia #SiguienteNivel 
•	Realización de video sobre Diálogos por un Centro ConSentido para el Territorio Histórico 
•	Publicación en redes sociales de video sobre Diálogos por un Centro ConSentido para el Territorio Histórico 
•	Publicación en redes sociales sobre Mesa Estratégica Centro ConSentido 
•	Publicación en redes sociales de ecard sobre Diálogos por un Centro ConSentido para el Territorio Diverso 
•	Publicación en redes sociales de #FeriaDeServicios al Parque Biblioteca del barrio El 12 de Octubre 
•	Realización de video de invitación sobre Diálogos por un Centro ConSentido para el Territorio Diverso 
•	Publicación en redes sociales de video de invitación sobre Diálogos por un Centro ConSentido para el Territorio Diverso
Las publicaciones alcanzaron estas estadísticas en la última semana: 
•	Número de Publicaciones: 34 
•	Twitter 18.600 impresiones y 620 interacciones.
•	Instagram 6.800 impresiones y 57 acciones 
•	Facebook 187 personas alcanzadas y 49 interacciones. 
•	Presencia en medios de comunicación: Entrevista El Colombiano 12 Oct 2021 - Balance Abrazo a Plaza Botero</t>
  </si>
  <si>
    <t xml:space="preserve">
MMCS
Dimensión Vida Saludable: 115
Componente Salud Bucal: 51
Dimensión Salud Mental: 94
Dimensión Sexualidad, derechos sexuales y derechos reproductivos: 37
Dimensión Seguridad Alimentaria y Nutricional: 64
Dimensión Salud Ambiental: 21
</t>
  </si>
  <si>
    <t xml:space="preserve">Dimensión Vida Saludable: 100
Componente Salud Bucal: 165
Dimensión Salud Mental: 111
Dimensión Sexualidad, derechos sexuales y derechos reproductivos: 42
Dimensión Seguridad Alimentaria y Nutricional: 69
Dimensión Salud Ambiental: 50
</t>
  </si>
  <si>
    <t xml:space="preserve">MMCS
Dimensión Vida Saludable: 108
Componente Salud Bucal: 222
Dimensión Salud Mental: 130
Dimensión Sexualidad, derechos sexuales y derechos reproductivos: 21
Dimensión Seguridad Alimentaria y Nutricional: 159
Dimensión Salud Ambiental: 44
</t>
  </si>
  <si>
    <t xml:space="preserve">MMCS
Dimensión Vida Saludable: 215
Componente Salud Bucal: 115
Dimensión Salud Mental: 220
Dimensión Sexualidad, derechos sexuales y derechos reproductivos: 162
Dimensión Seguridad Alimentaria y Nutricional: 376
Dimensión Salud Ambiental: 2
</t>
  </si>
  <si>
    <t xml:space="preserve">MMCS
Dimensión Salud Mental: 60
Dimensión Sexualidad, derechos sexuales y derechos reproductivos: 1
</t>
  </si>
  <si>
    <t xml:space="preserve">Dimensión Vida Saludable: 358
Componente Salud Bucal: 277
Dimensión Salud Mental: 121
Dimensión Sexualidad, derechos sexuales y derechos reproductivos: 35
Dimensión Seguridad Alimentaria y Nutricional: 56
Dimensión Salud Ambiental: 17
</t>
  </si>
  <si>
    <t xml:space="preserve">MMCS
Dimensión Vida Saludable: 2
Componente Salud Bucal: 19
Dimensión Salud Mental: 26
Dimensión Sexualidad, derechos sexuales y derechos reproductivos: 49
Dimensión Seguridad Alimentaria y Nutricional: 5
</t>
  </si>
  <si>
    <t xml:space="preserve">MMCS
Dimensión Vida Saludable: 13
Componente Salud Bucal: 103
Dimensión Salud Mental: 109
Dimensión Sexualidad, derechos sexuales y derechos reproductivos: 23
Dimensión Seguridad Alimentaria y Nutricional: 453
Dimensión Salud Ambiental: 6
</t>
  </si>
  <si>
    <t xml:space="preserve">MMCS
Dimensión Vida Saludable: 154
Componente Salud Bucal: 0
Dimensión Salud Mental: 46
Dimensión Sexualidad, derechos sexuales y derechos reproductivos: 122
Dimensión Seguridad Alimentaria y Nutricional: 54
</t>
  </si>
  <si>
    <t xml:space="preserve">Dimensión Vida Saludable: 77
Componente Salud Bucal: 50
Dimensión Salud Mental: 244
Dimensión Sexualidad, derechos sexuales y derechos reproductivos: 185
</t>
  </si>
  <si>
    <t xml:space="preserve">Dimensión Vida Saludable: 24
Dimensión Salud Mental: 105
Dimensión Sexualidad, derechos sexuales y derechos reproductivos: 43
</t>
  </si>
  <si>
    <t xml:space="preserve">MMCS
Dimensión Vida Saludable: 24
Dimensión Salud Mental: 33
Dimensión Sexualidad, derechos sexuales y derechos reproductivos: 8
</t>
  </si>
  <si>
    <t xml:space="preserve">Dimensión Vida Saludable: 215
Componente Salud Bucal: 348
Dimensión Salud Mental: 128
Dimensión Sexualidad, derechos sexuales y derechos reproductivos: 91
Dimensión Seguridad Alimentaria y Nutricional: 227
</t>
  </si>
  <si>
    <t xml:space="preserve">MMCS
Dimensión Vida Saludable: 24
Dimensión Salud Mental: 20
Dimensión Sexualidad, derechos sexuales y derechos reproductivos: 43
</t>
  </si>
  <si>
    <t xml:space="preserve">MMCS
Dimensión Vida Saludable: 14
Dimensión Salud Mental: 25
Dimensión Sexualidad, derechos sexuales y derechos reproductivos: 3
</t>
  </si>
  <si>
    <t xml:space="preserve">MMCS
Dimensión Vida Saludable: 2
Componente Salud Bucal: 10
Dimensión Salud Mental: 13
Dimensión Sexualidad, derechos sexuales y derechos reproductivos: 2
Dimensión Seguridad Alimentaria y Nutricional: 4
</t>
  </si>
  <si>
    <t xml:space="preserve">MMCS
Dimensión Vida Saludable: 4
Dimensión Salud Mental: 5
Dimensión Seguridad Alimentaria y Nutricional: 1
</t>
  </si>
  <si>
    <t xml:space="preserve">Dimensión Vida Saludable: 61
Componente Salud Bucal: 90
Dimensión Salud Mental: 126
Dimensión Sexualidad, derechos sexuales y derechos reproductivos: 88
Dimensión Seguridad Alimentaria y Nutricional: 63
</t>
  </si>
  <si>
    <t xml:space="preserve">Dimensión Vida Saludable: 11
Componente Salud Bucal: 124
Dimensión Salud Mental: 28
</t>
  </si>
  <si>
    <t xml:space="preserve">MMCS
Dimensión Vida Saludable: 78
Componente Salud Bucal: 63
Dimensión Salud Mental: 155
Dimensión Sexualidad, derechos sexuales y derechos reproductivos: 61
Dimensión Seguridad Alimentaria y Nutricional: 16
Dimensión Salud Ambiental: 18
</t>
  </si>
  <si>
    <t xml:space="preserve">MMCS
Dimensión Salud Mental: 7
Dimensión Sexualidad, derechos sexuales y derechos reproductivos: 6
Dimensión Seguridad Alimentaria y Nutricional: 2
</t>
  </si>
  <si>
    <t xml:space="preserve">Participación y acompañamiento en la Semana de la Alimentación que se realiza entre el 09 y el 16 de octubre, con los siguientes eventos: Actividades educativas, gastronómicas, caminata de la alimentación en el pueblito paisa, rueda de prensa en la Placita Delivery, feria agroalimentaria, conversatorios, Facebook Live acerca de la alimentación infantil.
Se harán eventos en toda la ciudad por lo que se llegará a todas las comunas.
</t>
  </si>
  <si>
    <t>Se busca impactar a 20.000 personas aproximadamente.</t>
  </si>
  <si>
    <t xml:space="preserve">Consolidar la totalidad de las formulaciones de los Proyectos de la Ruta PL y PP 2022
Consolidar la revisión de los proyectos formulados en MGA WEB de los proyectos de las dependencias pertenecientes a la Línea Medellín Me Cuida. 
Avance en la concertación de la propuesta de ajuste
Desarrollo y evaluación de las acciones de la estrategia pedagógica para su ajuste
Evaluación del estado del arte para la formulación de los proyectos y propuesta de cronograma.
Solución de inconsistencias en los proyectos de las comunas revisadas
</t>
  </si>
  <si>
    <t xml:space="preserve"> N/A</t>
  </si>
  <si>
    <t xml:space="preserve">En el taller virtual realizado el 7 de octubre sobre socialización de documentos técnicos para la incorporación del enfoque de género en las comunicaciones, en el que se contó con la participación de 14 personas de la empresa Tigo (Comuna 14), se logró presentar por primera vez la estrategia a un equipo de comunicadores y comunicadoras, y realizar un ejercicio de retroalimentación y trabajo conjunto sobre las posibles formas que una compañía puede incorporar el enfoque de género en la comunicaciones. </t>
  </si>
  <si>
    <t xml:space="preserve">.Participación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
-Intervención Paisajística en la Quebrada La Moscú Carrera 42C No. 101B 30 Interior 103 
actividad: rescate de 7 caninos 1 felino  
animales atendidos: 8
Actividad: Esterilizaciones con la universidad de Antioquia, 20 caninos , 70 felinos 
Animales Atendidos: 90
Actividad: implantación de microchip con la universidad de Antioquia a 29 caninos, 68 felinos 
Animales Atendidos: 97
</t>
  </si>
  <si>
    <t>animales atendidos: 8</t>
  </si>
  <si>
    <t xml:space="preserve">.Participación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
-Mantenimiento de jardines y árboles en la Quebrada Juan Bobo Carrera 49 B Calle 105.
-Actividad: Rescate de 1 felino.
Animales atendidos: 1 
Actividad: Esterilizaciones con la universidad de Antioquia a 45 caninos, 49 felinos. 
Animales Atendidos: 94
Actividad: implantación de microchip con la universidad de Antioquia a 45 caninos, 52 felinos 
Animales Atendidos: 97
Actividad: Se realiza sensibilización acerca de manejo de excretas de animales de compañía en vía pública. La actividad Se desarrolla en modalidad puerta a puerta
Personas Atendidas: 22 </t>
  </si>
  <si>
    <t>Personas Atendidas: 22</t>
  </si>
  <si>
    <t>-Intervención Puntual asociada a punto crítico. 
Logro: Sostenibilidad del espacio intervenido.  
Indicadores: Limpieza zonas verdes :250m2, 
Recolección sólidos (rcd,ordinarios y voluminosos): 24 m3
Retiro de Publicidad Prohibida : 13 postes
Rocería: 200 m2. 
Recurso impactado: Recurso Hídrico, Aire.
-Participación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
-Intervenciones Paisajísticas en la Quebradas La Bermejala (Carrera 36 con calle 91) La Tebaida (Calle 84 con carrera 39 hasta la Calle 86AD con carrera 36),  El Molino (Carrera 47 #74-20) y La Honda (Calle 71AA entre carrera 42 y 43 y calle 71 con carrera 47).
-Actividad: Rescate de 2 caninos.
Animales atendidos: 2
Actividad:   Esterilizaciones con la universidad de Antioquia a 47 caninos, 58 felinos 
Animales atendidos: 105
Actividad: implantación de microchip con la universidad de Antioquia a 48 caninos, 58 felinos
Animales Atendidos: 106</t>
  </si>
  <si>
    <t xml:space="preserve">-Participación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
-Prevención y mitigación de riesgos derivados de árboles, 8 talas.
-Actividad: Rescate de 2 caninos, 1 felino 
Animales atendidos: 3 
Actividad: Esterilizaciones con la universidad de Antioquia a 47 caninos, 56 felinos 
Animales atendidos: 103
Actividad: implantación de microchip con la universidad de Antioquia a 41 canino, 50 felinos 
Animales atendidos:  91
Actividad: SE PROMOVERÁ LA ADOPCIÓN RESPONSABLE  DE LOS  CANINOS Y FELINOS DEL CENTRO DE BIENESTAR ANIMAL LA PERLA, DURANTE EL DESARROLLO DEL EVENTO PARTICIPARAN  5 CANINOS   CON DIFERENTES CARACTERÍSTICAS (EDAD, TAMAÑO, TEMPERAMENTO ENTRE OTROS),  LOS CUALES PODRÁN SER ADOPTADOS DURANTE LA JORNADA.  ARTICULACIÓN CON LA SECRETARÍA DE PARTICIPACIÓN CIUDADANA- EN EL MARCO DE LA JORNADA TERRITORIOS EN PAZ </t>
  </si>
  <si>
    <t>-Participación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
-Actividad: Rescate de 10 caninos.
Animales atendidos: 10
Actividad: Esterilizaciones con la universidad de Antioquia a 80 caninos, 128 felinos
Animales Atendidos: 208
Actividad: implantación de microchip con la universidad de Antioquia a 82 caninos, 127 felinos.
Animales Atendidos: 209</t>
  </si>
  <si>
    <t>-Participación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
-Actividad: Rescate de 2 caninos, 1 felino.
Animales atendidos: 3
Actividad: El día 8 de octubre de 2021 se recibe llamado del módulo ambiental 123 del Municipio de Medellín, reportando un bovino caído en una cuneta del barrio el picacho, el animal se encuentra muy enterrado y con mucha dificultad para salir, se solicita el apoyo de los bomberos para su extracción y del cuadrante de la policía de la zona, ya que reportan no tener propietario el animal. El equipo de Centro de veterinaria y Zootecnia de la universidad CES se desplaza al sitio, cuando se encuentran en el lugar reportan que el sitio es de difícil acceso y con mucha dificultad para sacar el animal de la cuneta, se cuenta con el apoyo de los bomberos y de la comunidad y en el sitio ya se encuentra el propietario del animal, manifestando que no es la primera vez que pasa esto, a las 2:00 am se logra extraer el bovino, los bomberos cancelan el evento porque el animal se encuentra en buenas condiciones se le suministra agua y comida y se retiran del lugar. El equipo de Centro de veterinaria y Zootecnia de la universidad CES se retira del lugar a las 2:15 am.
Animales Atendidos:1
Actividad: Se realiza sensibilización en cuidado responsable de animales de compañía e inscripción para las jornadas de esterilización e implantación del microchip.
Personas Atendidas: 52 
Animales inscritos: 67</t>
  </si>
  <si>
    <t>Personas Atendidas: 52</t>
  </si>
  <si>
    <t>-Participación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
-Prevención y mitigación de riesgos derivados de árboles,  1 retiro
-Actividad: Rescate de 1 felino
Animales Atendidos1
Actividad:  Esterilizaciones con la universidad de Antioquia a 50 caninos, 54 felinos
Animales Atendidos: 104
Actividad: implantación de microchip con la universidad de Antioquia a 534 caninos, 811felinos.
Animales Atendidos: 1345
Actividad: El día 5 de octubre de 2021 se recibe llamado por el modulo ambiental 123, reportando un conejo abandonado por el sector del éxito de robledo con heridas en las orejas, nariz y en sus extremidades, se encuentra postrado en el sitio, el testigo que reporta el evento se queda en el lugar pendiente del animal mientras llega al sitio el equipo del Centro de Veterinaria y Zootecnia. El equipo de Centro de Veterinaria y Zootecnia de la universidad CES se desplaza hacia el lugar para atender el evento, se toman las respectivas medidas de acuerdo a protocolo del programa, se procede a embarcar el animal en el vehículo y posteriormente trasladarlo al CVZ donde se recibe y se inicia protocolo de ingreso.
Animales Atendidos: 1</t>
  </si>
  <si>
    <t>-Participación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
-Mantenimiento de árboles en la Quebradas Caño x (Calle 57A con carrera 27, sector El Pueblito y Calle 56EF 56EC 48), Chorro Hondo (Carrera 27 Calle 57), La Arenera (Calle 57 DD con Carrera 23), La Loquita y La Gallinaza 1 (Calle 56D con Carrera 17) y Chorro Hondo (Carrera 16 D No.57B- 98 int.136).
-Actividad: Rescate de 1 canino, 3 felinos.
Animales atendidos: 4
Actividad:  Esterilizaciones con la universidad de Antioquia a 72 caninos, 136 felinos 
Animales atendidos: 208
Actividad: implantación de microchip con la universidad de Antioquia a 48 caninos, 65 felinos.
Animales Atendidos: 113</t>
  </si>
  <si>
    <t>-Participación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
-Mantenimiento de jardines y árboles en la quebrada La Pastora (calle 44 e carrera 8).
-Actividad: Rescate de 5 caninos, 2 felinos 
Animales atendidos: 7
Actividad: implantación de microchip con la universidad de Antioquia a 25 caninos, 64 felinos. 
Animales Atendidos: 89</t>
  </si>
  <si>
    <t>-Participación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
-Búsqueda y marcación de sitios para siembra de árboles en la Margen derecha del Río Aburrá, iniciando desde la calle 32 (a la altura del puente de Guayaquil) y en dirección Norte hasta la calle 41 (frente a Plaza Mayor); Margen izquierdo del Río Aburrá, iniciando desde la calle 33 y en dirección Norte; Margen izquierdo del Río Aburrá, iniciando desde cercanías de la calle 33 y en dirección Norte hasta la calle 33.
-Mantenimiento preventivo y curativo a los árboles con declaratoria de patrimonio cultural arbóreo en los  Barrios: La Candelaria y Boston. Actividades Ejecutadas: Plateo, descompactación, retiro y resiembra de jardín, retiro de elementos extraños, aplicación de chipiado, limpieza y desinfección de heridas.
-Actividad: Rescate de 1 canino. 1 felino.
Animales atendidos:2
Actividad:  Esterilizaciones con la universidad de Antioquia a 36 caninos, 53 felinos.
Animales atendidos: 89
Actividad: implantación de microchip con la universidad de Antioquia a 33 caninos, 55 felinos.
Animales atendidos: 88</t>
  </si>
  <si>
    <t xml:space="preserve">-Participación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
-Actividad: SE PROMOVERÁ LA ADOPCIÓN RESPONSABLE  DE LOS  CANINOS Y FELINOS DEL CENTRO DE BIENESTAR ANIMAL LA PERLA, DURANTE EL DESARROLLO DEL EVENTO PARTICIPARAN 15 CANINOS   CON DIFERENTES CARACTERÍSTICAS (EDAD, TAMAÑO, TEMPERAMENTO ENTRE OTROS),  LOS CUALES PODRÁN SER ADOPTADOS DURANTE LA JORNADA. </t>
  </si>
  <si>
    <t>Sector quebrada Pelahueso 
Intervención Puntual asociada a punto crítico. 
Logro: Sostenibilidad del espacio intervenido
Indicadores: Limpieza zonas verdes :173m2
Recolección sólidos (rcd,ordinarios y voluminosos): 3 m3
Retiro de Publicidad Prohibida: 19 postes. 
Recurso impactado: Recurso Hídrico, Aire.
-Participación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t>
  </si>
  <si>
    <t>Sector  El Reversadero 
Intervención Puntual asociada a punto crítico 
Logro : Sostenibilidad del espacio intervenido
Indicadores: Limpieza zona verde: 30 m2
Recolección de residuos solidos (rcd,ordinarios y voluminosos: 14m3. 
Recurso impactado: Recurso Hídrico, Aire.
-Participación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
-Actividad: Rescate de 1 canino, 2 felinos
Animales atendidos:3
Actividad:  Esterilizaciones con la universidad de Antioquia a 28 caninos, 61 felinos 
Animales Atendidos: 89
Actividad: implantación de microchip con la universidad de Antioquia a 32 caninos, 64 felinos 
Animales Atendidos: 96</t>
  </si>
  <si>
    <t>-Participación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
-Mantenimiento de jardines en el Eco parque Los Naranjos: Quebradas La Escopetería (calle 1 a sur entre carreras 29 y 29c) y la olleta (calle 1 a sur entre carreras 29 y 29c).</t>
  </si>
  <si>
    <t>Sector quebrada La Guayabala
Intervención  Integral Ambiental y Feria Pos consumo
Logro : Intervención Integral espacio Intervenido. 
Pintura de pasamanos: 58 m
Pintura de módulos: 2 módulos
pintura de bancas en concreto: 23 Unidades
limpieza de retiros de quebrada: 187 m lineales
limpieza de zonas verdes: 425 m
lavado de puentes peatonales: 4 puentes
limpieza de sumideros: 85 rejillas
Reposición de jardineras y siembra: 9 jardineras, 
Evaluación de individuos arbóreos: 5 árboles para tala
Recolección de RCD: 32m3, 
Recolección de ordinarios: 15m3
Captación material posconsumo. 
Recurso impactado: Recurso Hídrico- Aire.
-Participación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
-Siembra de árboles en el Río Aburrá (autopista sur entre calles 4 sur y 8 y entre calles 6 sur y 4 sur); Recolección de Escombros en las  Quebradas: El Bolo (calle 12c sur hasta carrera 53 -147), La Colinita (calle 10 sur carrera 55), Conservación de Jardines en la Quebrada La Guayabala (carrera 65g calle 14 y carrera 65 calle 1asur hasta carrera 65 calle 23).
-Actividad: Rescate de 1 canino.
Animales atendidos: 1 
Actividad:  El día 4 de octubre de 2021 se recibe llamado de un particular que se encuentra por la avenida guayabal, reportando un equino corriendo por las vías abandonado y colocando en peligro la integridad del animal, los testigos intentan llevarla a un espacio donde se encuentre más segura y no genere ningún peligro, se contacta con el modulo ambiental 123 para solicitar el apoyo de la policía mientras el equipo de Centro de veterinaria y Zootecnia de la universidad CES llegan al sitio. El equipo de Centro de veterinaria y Zootecnia de la universidad CES se desplaza hacia el lugar para atender el evento, se toman las respectivas medidas de acuerdo a protocolo del programa, se procede a embarcar el animal en el vehículo y posteriormente trasladarlo al CVZ donde se recibe y se inicia protocolo de ingreso.
Animales atendidos: 1
Actividad: SE PROMOVERÁ LA ADOPCIÓN RESPONSABLE  DE LOS  CANINOS Y FELINOS DEL CENTRO DE BIENESTAR ANIMAL LA PERLA, DURANTE EL DESARROLLO DEL EVENTO PARTICIPARAN  5 CANINOS Y 7 FELINOS CON DIFERENTES CARACTERÍSTICAS (EDAD, TAMAÑO, TEMPERAMENTO ENTRE OTROS),  LOS CUALES PODRÁN SER ADOPTADOS DURANTE LA JORNADA, ADICIONALMENTE POR PARTE DEL TÉCNICO DE EDUCACIÓN SE REALIZARÁ  UNA SENSIBILIZACIÓN  SOBRE CUIDADO RESPONSABLE DE LOS ANIMALES DE COMPAÑÍA, ESTO SE REALIZA LOS DÍAS 8,9, 10 DE OCTUBRE DEL 2021, EN EL CENTRO  COMERCIAL TERMINAL DEL SUR.</t>
  </si>
  <si>
    <t>-Participación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
-Mantenimiento de jardines y árboles en la quebrada Altavista (Calle 27 Carrera 79a Hasta Carrera 70 Calle 27 Centro De Salud-Gaviotas), en el Preventorio (Carrera78 Calle 24) y en el Colegio Yermo Parres (Calle 28 N° 77-84).
-Prevención y mitigación de riesgos derivados de árboles, 1 poda
-Actividad: Rescate de 1 canino 
Animales atendidos: 1 
Actividad:  Esterilizaciones con la universidad de Antioquia a 33 caninos, 48 felinos. 
Animales atendidos: 81
Actividad: implantación de microchip con la universidad de Antioquia a 34 caninos, 48 felinos  
Animales atendidos: 82
Actividad: Se realiza sensibilización el día 5 de octubre en Belén la Gloria con 20 personas sensibilizada, el 6 de octubre en Belén Fátima con 6 personas sensibilizadas, acerca de manejo de excretas de animales de compañía en vía pública. La actividad se desarrolla en modalidad puerta a puerta
Personas atendidas: 26</t>
  </si>
  <si>
    <t>Personas atendidas: 26</t>
  </si>
  <si>
    <t>-Participación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
-Pago Servicios Ambientales Hídricos (PSAH): Protección de 743,80 ha en conservación y 10,04 ha en restauración, con la firma de los acuerdos en los 5 corregimientos de Medellín, Con esto se aporta al indicador de Áreas de cuencas internas y externas con acciones de conservación.</t>
  </si>
  <si>
    <t>-Participación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
-Pago Servicios Ambientales Hídricos (PSAH): Protección de 743,80 ha en conservación y 10,04 ha en restauración, con la firma de los acuerdos en los 5 corregimientos de Medellín, Con esto se aporta al indicador de Áreas de cuencas internas y externas con acciones de conservación.
-Actividad: Rescate de 3 caninos.
Animales atendidos:  3 
Actividad: esterilizaciones externas.
Animales atendidos: 20
Actividad: esterilizaciones internas 
Animales Atendidos: 35
Actividad:  Esterilizaciones con la universidad de Antioquia a 16 caninos, 50 felinos.
Animales Atendidos: 66
Actividad: implantación de microchip con la universidad de Antioquia a 19 caninos, 44 felinos 
Animales atendidos: 63</t>
  </si>
  <si>
    <t>Se logra articular con la Secretaría de Salud para la apertura de Juntas de acción comunal como puntos de vacunación contra el COVID-19</t>
  </si>
  <si>
    <t>981 personas fueron vacunadas.</t>
  </si>
  <si>
    <t>Fortalecimiento de Nuevas Expresiones Ciudadanas - Encuentro con Jóvenes
En el encuentro participaron 65 personas, miembros de nuevas expresiones ciudadanas de las Comunas 8 Villa Hermosa, 9 – Buenos Aires, 10 – La Candelaria y Corregimiento 90 – Santa Elena.</t>
  </si>
  <si>
    <t>65 personas</t>
  </si>
  <si>
    <t xml:space="preserve">"Comuna 2 - Santa Cruz 02/10/2021: Encuentro Territorial "Yo Construyo Mi Medellín Futuro" En el encuentro participaron aproximadamente 110 líderes representando organizaciones como: JAL, Adulto Mayor, Organizaciones Sociales y Consejo Comunal de Planeación, quienes fueron atendidos en espacios de diálogo con la Secretaría de Participación Ciudadana, lo que permitió escuchar sus necesidades y problemáticas, plantear soluciones y asumir compromisos.  En el encuentro, se invitó a la comunidad a conocer la oferta institucional a través de una feria de servicios desarrollada en la Casa de Justicia de Villa del Socorro, con amplia participación de la ciudadanía y la instalación de 20 stand de la Secretaría de Participación Ciudadana y la Comunidad."
</t>
  </si>
  <si>
    <t xml:space="preserve">110 líderes </t>
  </si>
  <si>
    <t xml:space="preserve">"Encuentro: Conversemos sobre Control Social en los Servicios Públicos domiciliarios.  Fecha: 08 de Octubre de 2021. Hora: 02:00 pm Total de participantes:14 Total de Mujeres: 9 (64%) Total de Hombre: 5 Reporte por Comuna:  1. Popular: 2  3. Manrique: 1  8. Villa Hermosa: 1  9. Buenos Aires: 1  10. La Candelaría: 1  11. Laureles Estadio: 2  Otro - Municipio: 1  No especifica: 6"
</t>
  </si>
  <si>
    <t>Ver logro de la actividad para observar la distribución de participantes.</t>
  </si>
  <si>
    <t xml:space="preserve">A través de la estrategia Ruta Medellín Cuida lo Público se lograron visitar las comunas 5, 7, 10, 13 y 15, alcanzando una participación de 409 ciudadanos.
</t>
  </si>
  <si>
    <t>5 comunas impáctalas.</t>
  </si>
  <si>
    <t xml:space="preserve">"En el marco del Seminario virtual de Control Social a la Gestión Pública se tuvo la participación de 181 ciudadanos y ciudadanas, representantes de 146 organizaciones e instancias de participación de toda la ciudad. A la fecha se tienen 265 inscritos que corresponde a representantes de diversas organizaciones e instancias de participación ciudadana interesados en formarse (Seminario) y rendir cuentas en el marco de Día Blanco."
</t>
  </si>
  <si>
    <t>181 líderes</t>
  </si>
  <si>
    <t>Ruta de Medellín Cuida lo Público – Plaza Botero</t>
  </si>
  <si>
    <t>N-A</t>
  </si>
  <si>
    <t xml:space="preserve">Ruta de Medellín Cuida lo Público - Centro de Desarrollo Social Campo Valdés y Parque de los Deseos </t>
  </si>
  <si>
    <t>Ruta de Medellín Cuida lo Público -  Estación Acevedo de Metro Cable</t>
  </si>
  <si>
    <t>Ruta de Medellín Cuida lo Público - Parque Juanes de la Paz</t>
  </si>
  <si>
    <t>500 familias con internet gratuito</t>
  </si>
  <si>
    <t>más de 2000 personas conectadas</t>
  </si>
  <si>
    <t xml:space="preserve">Ambientes y Entornos para el Aprendizaje
Se realizó proceso de asesoría y asistencia técnica en 6 aulas de Modelos Flexibles-extra edad, donde se brinda acompañamiento a 108 estudiantes y 6 docentes.
Comuna 2: IE República de Israel con 2 aulas
Comuna 6: IE Barrio Santander con 2 aulas.
I.E. Progresar con 2 aulas.
</t>
  </si>
  <si>
    <t xml:space="preserve">Entorno Escolar Protector
Durante esta semana desde el Programa Entorno Escolar Protector, se realizaron las siguientes acciones:
Llamadas para verificación del estado socioemocional de las familias y los estudiantes: 175
Visitas para identificación de algún riesgo psicosocial: 41
Adicionalmente, se realizaron las siguientes atenciones, llamadas y visitas domiciliarias a las comunidades educativas (estudiantes, docentes, directivos docentes y familias), en las 16 comunas y los 5 corregimientos de la ciudad de Medellín.
Comuna 1: 82 
comuna 2: 69
Comuna 3: 81
Comuna 4: 50
Comuna 5: 73
Comuna 6: 56
Comuna 7: 136
Comuna 8: 76
Comuna 9: 67
Comuna 10: 12
Comuna 11: 45
Comuna 12: 28
Comuna 13: 81
Comuna 14: 3
Comuna 15: 3
Comuna 16: 3
Comuna 60: 30
Comuna 70: 28
Comuna 80: 47
Comuna 90: 3
</t>
  </si>
  <si>
    <t>Mova
Jornada Pedagógica IE Nuevo Horizonte Pablo VI de la comuna 1 el 4 de octubre de 2021 con 47 docentes y directivos docentes participantes de esta jornada.
Jornada Pedagógica IE La Independencia de la comuna 13, realizada el 5 de octubre de 2021. Se impactaron 68 docentes y directivos docentes en el taller que llevó MOVA en elaboración de pruebas tipo saber con enfoque de competencias.
Visita a la CE Permanente Mazo - comuna 8. 06 de octubre de 2021. Se impactaron a los 8 docentes y directivos docentes del CE Rutal.
Carrusel de Metodologías Activas realizada el 7 de octubre de 2021. Se beneficiaron 85 docentes y directivos docentes de las siguientes I.E.:
Inst Educ Rosalía Suárez - Comuna 16
Inst Educ Sol de Oriente - Comuna 8
Inst Educ Marco Fidel Suárez - Comuna 11
Inst Educ Héctor Abad Gómez - Comuna 10
Inst Educ Lusitania Paz de Colombia - Comuna 60
Inst Educ La Milagrosa - Comuna 9
Inst Educ Merceditas Gómez Comuna 9
En esta jornada que tuvo lugar en MOVA se llevaron a cabo 4 talleres en metodologías activas: ABP, Educomunicación, Transmedia y Gamificación.</t>
  </si>
  <si>
    <t>Transformación Curricular
 Asesorías y asistencias técnicas a 38 IE, todo ello en el marco del cumplimioento de la meta del indicador del PDM 2020-2023 Medellín Futuro: I.E Oficiales acompañadas para la adecuación de su modelo curricular en la 4ta Revolución Industrial:
Semana del 4 al 8 de octubre 2021:
Comuna 1: 2 I.E
Comuna 2: 2 I.E 
Comuna 3: 2 I.E
Comuna 4: 4 I.E
Comuna 5: 1 I.E
Comuna 6: 1 I.E 
Comuna 7: 3 I.E 
Comuna 8: 3 I.E
Comuna 9: 4 I.E 
Comuna 10: 3 I.E
Comuna 11: 1 I.E
Comuna 12: 1 I.E
Comuna 13: 3 I.E 
Comuna 15: 1 I.E
Comuna 16: 1 I.E
Comuna 60: 1 I.E
Comuna 70: 1 I.E
Comuna 80: 4 I.E</t>
  </si>
  <si>
    <t xml:space="preserve">Reunión de inicio de ejecución de Presupuesto Participativo, con los medios y procesos Historias Contadas, Guayacán y Arlequín, el día jueves 7 de octubre, en la que resolvieron claridades frente al proceso y se solicitó la entrega del cronograma y la metodología de trabajo.
</t>
  </si>
  <si>
    <t xml:space="preserve">Reunión con el Consejo Comunal o Corregimental de Planeación - CCCP de la comuna, el día miércoles 6 de octubre, con el fin de socializar, por parte de la Secretaría de Participación Ciudadana los recursos de Presupuesto Participativo para el sector comunicaciones, en las vigencias 2020 y 2021. Se contó con la participación de 25 asistentes.
Reunión con el Consejo Comunal o Corregimental de Planeación - CCCP de la comuna, el día miércoles 6 de octubre, con el fin de presentar al operador del proceso de formación para la Comuna 13, de acuerdo con el proyecto de Comunicaciones a ejecutar, con recursos de Presupuesto Participativo. Se contó con la participación de 25 asistentes.
Reunión de comité editorial para la revisión y aprobación de los temas del Periódico El Nuevo Sol, en sus ediciones 170, 171 y 172, en el marco de la ejecución de Presupuesto Participativo, el día lunes 4 de octubre. Se contó con la participación de 20 asistentes.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</si>
</sst>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rgb="FF000000"/>
      <name val="Calibri"/>
    </font>
    <font>
      <b/>
      <sz val="11"/>
      <color rgb="FF000000"/>
      <name val="Calibri"/>
      <family val="2"/>
    </font>
    <font>
      <sz val="11"/>
      <name val="Calibri"/>
      <family val="2"/>
    </font>
    <font>
      <sz val="11"/>
      <color rgb="FF000000"/>
      <name val="Calibri"/>
      <family val="2"/>
    </font>
    <font>
      <sz val="8"/>
      <name val="Calibri"/>
      <family val="2"/>
    </font>
  </fonts>
  <fills count="4">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 fillId="0" borderId="0"/>
  </cellStyleXfs>
  <cellXfs count="17">
    <xf numFmtId="0" fontId="0" fillId="0" borderId="0" xfId="0" applyFont="1" applyAlignment="1"/>
    <xf numFmtId="0" fontId="0" fillId="0" borderId="1" xfId="0" applyFont="1" applyBorder="1" applyAlignment="1"/>
    <xf numFmtId="0" fontId="0" fillId="0" borderId="1" xfId="0" applyFont="1" applyBorder="1" applyAlignment="1">
      <alignment wrapText="1"/>
    </xf>
    <xf numFmtId="0" fontId="0" fillId="2" borderId="1" xfId="0" applyFont="1" applyFill="1" applyBorder="1" applyAlignment="1">
      <alignment horizontal="center" vertical="center" wrapText="1"/>
    </xf>
    <xf numFmtId="0" fontId="0" fillId="0" borderId="1" xfId="0" applyFont="1" applyBorder="1" applyAlignment="1">
      <alignment horizontal="center" vertical="center" wrapText="1"/>
    </xf>
    <xf numFmtId="0" fontId="0" fillId="0" borderId="1" xfId="0" applyFont="1" applyBorder="1" applyAlignment="1">
      <alignment horizontal="center" vertical="center"/>
    </xf>
    <xf numFmtId="0" fontId="1" fillId="2" borderId="1" xfId="0" applyFont="1" applyFill="1" applyBorder="1" applyAlignment="1">
      <alignment horizontal="center" vertical="center"/>
    </xf>
    <xf numFmtId="14" fontId="1" fillId="2" borderId="1" xfId="0" applyNumberFormat="1" applyFont="1" applyFill="1" applyBorder="1" applyAlignment="1">
      <alignment horizontal="center" vertical="center"/>
    </xf>
    <xf numFmtId="14" fontId="0" fillId="0" borderId="0" xfId="0" applyNumberFormat="1" applyFont="1" applyAlignment="1"/>
    <xf numFmtId="49" fontId="1" fillId="2" borderId="1" xfId="0" applyNumberFormat="1" applyFont="1" applyFill="1" applyBorder="1" applyAlignment="1">
      <alignment horizontal="center" vertical="center"/>
    </xf>
    <xf numFmtId="49" fontId="0" fillId="0" borderId="0" xfId="0" applyNumberFormat="1" applyFont="1" applyAlignment="1">
      <alignment horizontal="center"/>
    </xf>
    <xf numFmtId="0" fontId="0" fillId="0" borderId="0" xfId="0"/>
    <xf numFmtId="0" fontId="0" fillId="0" borderId="1" xfId="0" applyBorder="1"/>
    <xf numFmtId="0" fontId="0" fillId="3" borderId="1" xfId="0" applyFill="1" applyBorder="1"/>
    <xf numFmtId="14" fontId="0" fillId="0" borderId="1" xfId="0" applyNumberFormat="1" applyFont="1" applyBorder="1" applyAlignment="1"/>
    <xf numFmtId="14" fontId="0" fillId="2" borderId="1" xfId="0" applyNumberFormat="1" applyFont="1" applyFill="1" applyBorder="1" applyAlignment="1">
      <alignment horizontal="center" vertical="center" wrapText="1"/>
    </xf>
    <xf numFmtId="49" fontId="3" fillId="0" borderId="1" xfId="0" applyNumberFormat="1" applyFont="1" applyBorder="1"/>
  </cellXfs>
  <cellStyles count="2">
    <cellStyle name="Normal" xfId="0" builtinId="0"/>
    <cellStyle name="Normal 2" xfId="1" xr:uid="{B80E9964-8386-3745-82E4-115F9EAC8C0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4</xdr:col>
      <xdr:colOff>25400</xdr:colOff>
      <xdr:row>21</xdr:row>
      <xdr:rowOff>0</xdr:rowOff>
    </xdr:from>
    <xdr:to>
      <xdr:col>5</xdr:col>
      <xdr:colOff>50800</xdr:colOff>
      <xdr:row>24</xdr:row>
      <xdr:rowOff>38100</xdr:rowOff>
    </xdr:to>
    <xdr:sp macro="" textlink="">
      <xdr:nvSpPr>
        <xdr:cNvPr id="1025" name="CommandButton1" hidden="1">
          <a:extLst>
            <a:ext uri="{63B3BB69-23CF-44E3-9099-C40C66FF867C}">
              <a14:compatExt xmlns:a14="http://schemas.microsoft.com/office/drawing/2010/main"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25400</xdr:colOff>
      <xdr:row>31</xdr:row>
      <xdr:rowOff>25400</xdr:rowOff>
    </xdr:from>
    <xdr:to>
      <xdr:col>5</xdr:col>
      <xdr:colOff>50800</xdr:colOff>
      <xdr:row>34</xdr:row>
      <xdr:rowOff>63500</xdr:rowOff>
    </xdr:to>
    <xdr:pic>
      <xdr:nvPicPr>
        <xdr:cNvPr id="2" name="CommandButton1">
          <a:extLst>
            <a:ext uri="{FF2B5EF4-FFF2-40B4-BE49-F238E27FC236}">
              <a16:creationId xmlns:a16="http://schemas.microsoft.com/office/drawing/2014/main" id="{62ACD9D4-AD19-1440-8E9B-A8463A403A1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58300" y="7289800"/>
          <a:ext cx="2959100" cy="609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A88"/>
  <sheetViews>
    <sheetView workbookViewId="0">
      <pane ySplit="1" topLeftCell="A2" activePane="bottomLeft" state="frozen"/>
      <selection pane="bottomLeft" activeCell="F2" sqref="F2:DA24"/>
    </sheetView>
  </sheetViews>
  <sheetFormatPr baseColWidth="10" defaultColWidth="14.5" defaultRowHeight="15" customHeight="1" x14ac:dyDescent="0.2"/>
  <cols>
    <col min="1" max="1" width="10.6640625" style="1" customWidth="1"/>
    <col min="2" max="2" width="37" style="14" customWidth="1"/>
    <col min="3" max="3" width="60" style="1" bestFit="1" customWidth="1"/>
    <col min="4" max="4" width="34.83203125" style="1" bestFit="1" customWidth="1"/>
    <col min="5" max="5" width="38.5" style="1" bestFit="1" customWidth="1"/>
    <col min="6" max="20" width="10.6640625" style="1" customWidth="1"/>
    <col min="21" max="21" width="17" style="1" customWidth="1"/>
    <col min="22" max="45" width="10.6640625" style="1" customWidth="1"/>
    <col min="46" max="46" width="19.5" style="1" customWidth="1"/>
    <col min="47" max="68" width="10.6640625" style="1" customWidth="1"/>
    <col min="69" max="16384" width="14.5" style="1"/>
  </cols>
  <sheetData>
    <row r="1" spans="1:105" s="2" customFormat="1" ht="32" x14ac:dyDescent="0.2">
      <c r="A1" s="3" t="s">
        <v>0</v>
      </c>
      <c r="B1" s="15" t="s">
        <v>1</v>
      </c>
      <c r="C1" s="3" t="s">
        <v>2</v>
      </c>
      <c r="D1" s="3" t="s">
        <v>3</v>
      </c>
      <c r="E1" s="3" t="s">
        <v>4</v>
      </c>
      <c r="F1" s="3" t="s">
        <v>5</v>
      </c>
      <c r="G1" s="3" t="s">
        <v>6</v>
      </c>
      <c r="H1" s="3"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4"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60</v>
      </c>
      <c r="BJ1" s="4" t="s">
        <v>61</v>
      </c>
      <c r="BK1" s="4" t="s">
        <v>62</v>
      </c>
      <c r="BL1" s="4" t="s">
        <v>63</v>
      </c>
      <c r="BM1" s="4" t="s">
        <v>64</v>
      </c>
      <c r="BN1" s="4" t="s">
        <v>65</v>
      </c>
      <c r="BO1" s="4" t="s">
        <v>66</v>
      </c>
      <c r="BP1" s="4" t="s">
        <v>67</v>
      </c>
    </row>
    <row r="2" spans="1:105" s="12" customFormat="1" x14ac:dyDescent="0.2">
      <c r="A2" s="12" t="s">
        <v>130</v>
      </c>
      <c r="B2" s="16" t="s">
        <v>153</v>
      </c>
      <c r="C2" s="11" t="s">
        <v>93</v>
      </c>
      <c r="D2" s="12" t="s">
        <v>131</v>
      </c>
      <c r="E2" s="12" t="s">
        <v>131</v>
      </c>
      <c r="F2" s="11" t="s">
        <v>74</v>
      </c>
      <c r="G2" s="11" t="s">
        <v>94</v>
      </c>
      <c r="H2" s="11" t="s">
        <v>94</v>
      </c>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c r="CE2" s="11"/>
      <c r="CF2" s="11"/>
      <c r="CG2" s="11"/>
      <c r="CH2" s="11"/>
      <c r="CI2" s="11"/>
      <c r="CJ2" s="11"/>
      <c r="CK2" s="11"/>
      <c r="CL2" s="11"/>
      <c r="CM2" s="11"/>
      <c r="CN2" s="11"/>
      <c r="CO2" s="11"/>
      <c r="CP2" s="11"/>
      <c r="CQ2" s="11"/>
      <c r="CR2" s="11"/>
      <c r="CS2" s="11"/>
      <c r="CT2" s="11"/>
      <c r="CU2" s="11"/>
      <c r="CV2" s="11"/>
      <c r="CW2" s="11"/>
      <c r="CX2" s="11"/>
      <c r="CY2" s="11"/>
      <c r="CZ2" s="11"/>
      <c r="DA2" s="11"/>
    </row>
    <row r="3" spans="1:105" s="13" customFormat="1" x14ac:dyDescent="0.2">
      <c r="A3" s="13" t="s">
        <v>132</v>
      </c>
      <c r="B3" s="16" t="s">
        <v>153</v>
      </c>
      <c r="C3" s="11" t="s">
        <v>68</v>
      </c>
      <c r="D3" s="12" t="s">
        <v>131</v>
      </c>
      <c r="E3" s="12" t="s">
        <v>131</v>
      </c>
      <c r="F3" s="11" t="s">
        <v>81</v>
      </c>
      <c r="G3" s="11" t="s">
        <v>158</v>
      </c>
      <c r="H3" s="11" t="s">
        <v>159</v>
      </c>
      <c r="I3" s="11" t="s">
        <v>69</v>
      </c>
      <c r="J3" s="11" t="s">
        <v>160</v>
      </c>
      <c r="K3" s="11" t="s">
        <v>161</v>
      </c>
      <c r="L3" s="11" t="s">
        <v>69</v>
      </c>
      <c r="M3" s="11" t="s">
        <v>162</v>
      </c>
      <c r="N3" s="11" t="s">
        <v>163</v>
      </c>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row>
    <row r="4" spans="1:105" s="12" customFormat="1" x14ac:dyDescent="0.2">
      <c r="A4" s="12" t="s">
        <v>133</v>
      </c>
      <c r="B4" s="16" t="s">
        <v>153</v>
      </c>
      <c r="C4" s="11" t="s">
        <v>85</v>
      </c>
      <c r="D4" s="12" t="s">
        <v>131</v>
      </c>
      <c r="E4" s="12" t="s">
        <v>131</v>
      </c>
      <c r="F4" s="11" t="s">
        <v>74</v>
      </c>
      <c r="G4" s="11" t="s">
        <v>164</v>
      </c>
      <c r="H4" s="11" t="s">
        <v>75</v>
      </c>
      <c r="I4" s="11" t="s">
        <v>80</v>
      </c>
      <c r="J4" s="11" t="s">
        <v>165</v>
      </c>
      <c r="K4" s="11" t="s">
        <v>75</v>
      </c>
      <c r="L4" s="11" t="s">
        <v>77</v>
      </c>
      <c r="M4" s="11" t="s">
        <v>166</v>
      </c>
      <c r="N4" s="11" t="s">
        <v>75</v>
      </c>
      <c r="O4" s="11" t="s">
        <v>86</v>
      </c>
      <c r="P4" s="11" t="s">
        <v>167</v>
      </c>
      <c r="Q4" s="11" t="s">
        <v>75</v>
      </c>
      <c r="R4" s="11" t="s">
        <v>90</v>
      </c>
      <c r="S4" s="11" t="s">
        <v>168</v>
      </c>
      <c r="T4" s="11" t="s">
        <v>75</v>
      </c>
      <c r="U4" s="11"/>
      <c r="V4" s="11" t="s">
        <v>75</v>
      </c>
      <c r="W4" s="11" t="s">
        <v>75</v>
      </c>
      <c r="X4" s="11"/>
      <c r="Y4" s="11" t="s">
        <v>75</v>
      </c>
      <c r="Z4" s="11" t="s">
        <v>75</v>
      </c>
      <c r="AA4" s="11"/>
      <c r="AB4" s="11" t="s">
        <v>75</v>
      </c>
      <c r="AC4" s="11" t="s">
        <v>75</v>
      </c>
      <c r="AD4" s="11"/>
      <c r="AE4" s="11" t="s">
        <v>75</v>
      </c>
      <c r="AF4" s="11" t="s">
        <v>75</v>
      </c>
      <c r="AG4" s="11"/>
      <c r="AH4" s="11" t="s">
        <v>75</v>
      </c>
      <c r="AI4" s="11" t="s">
        <v>75</v>
      </c>
      <c r="AJ4" s="11"/>
      <c r="AK4" s="11" t="s">
        <v>75</v>
      </c>
      <c r="AL4" s="11" t="s">
        <v>75</v>
      </c>
      <c r="AM4" s="11"/>
      <c r="AN4" s="11" t="s">
        <v>75</v>
      </c>
      <c r="AO4" s="11" t="s">
        <v>75</v>
      </c>
      <c r="AP4" s="11"/>
      <c r="AQ4" s="11" t="s">
        <v>75</v>
      </c>
      <c r="AR4" s="11" t="s">
        <v>75</v>
      </c>
      <c r="AS4" s="11"/>
      <c r="AT4" s="11" t="s">
        <v>75</v>
      </c>
      <c r="AU4" s="11" t="s">
        <v>75</v>
      </c>
      <c r="AV4" s="11"/>
      <c r="AW4" s="11" t="s">
        <v>75</v>
      </c>
      <c r="AX4" s="11" t="s">
        <v>75</v>
      </c>
      <c r="AY4" s="11"/>
      <c r="AZ4" s="11" t="s">
        <v>75</v>
      </c>
      <c r="BA4" s="11" t="s">
        <v>75</v>
      </c>
      <c r="BB4" s="11"/>
      <c r="BC4" s="11" t="s">
        <v>75</v>
      </c>
      <c r="BD4" s="11" t="s">
        <v>75</v>
      </c>
      <c r="BE4" s="11"/>
      <c r="BF4" s="11" t="s">
        <v>75</v>
      </c>
      <c r="BG4" s="11" t="s">
        <v>75</v>
      </c>
      <c r="BH4" s="11"/>
      <c r="BI4" s="11" t="s">
        <v>75</v>
      </c>
      <c r="BJ4" s="11" t="s">
        <v>75</v>
      </c>
      <c r="BK4" s="11"/>
      <c r="BL4" s="11" t="s">
        <v>75</v>
      </c>
      <c r="BM4" s="11" t="s">
        <v>75</v>
      </c>
      <c r="BN4" s="11"/>
      <c r="BO4" s="11" t="s">
        <v>75</v>
      </c>
      <c r="BP4" s="11" t="s">
        <v>75</v>
      </c>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row>
    <row r="5" spans="1:105" s="12" customFormat="1" x14ac:dyDescent="0.2">
      <c r="A5" s="12" t="s">
        <v>134</v>
      </c>
      <c r="B5" s="16" t="s">
        <v>153</v>
      </c>
      <c r="C5" s="11" t="s">
        <v>108</v>
      </c>
      <c r="D5" s="12" t="s">
        <v>131</v>
      </c>
      <c r="E5" s="12" t="s">
        <v>131</v>
      </c>
      <c r="F5" s="11" t="s">
        <v>99</v>
      </c>
      <c r="G5" s="11" t="s">
        <v>169</v>
      </c>
      <c r="H5" s="11" t="s">
        <v>170</v>
      </c>
      <c r="I5" s="11" t="s">
        <v>86</v>
      </c>
      <c r="J5" s="11" t="s">
        <v>171</v>
      </c>
      <c r="K5" s="11" t="s">
        <v>172</v>
      </c>
      <c r="L5" s="11" t="s">
        <v>91</v>
      </c>
      <c r="M5" s="11" t="s">
        <v>173</v>
      </c>
      <c r="N5" s="11" t="s">
        <v>174</v>
      </c>
      <c r="O5" s="11" t="s">
        <v>71</v>
      </c>
      <c r="P5" s="11" t="s">
        <v>175</v>
      </c>
      <c r="Q5" s="11" t="s">
        <v>176</v>
      </c>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row>
    <row r="6" spans="1:105" s="12" customFormat="1" x14ac:dyDescent="0.2">
      <c r="A6" s="12" t="s">
        <v>136</v>
      </c>
      <c r="B6" s="16" t="s">
        <v>153</v>
      </c>
      <c r="C6" s="11" t="s">
        <v>111</v>
      </c>
      <c r="D6" s="12" t="s">
        <v>131</v>
      </c>
      <c r="E6" s="12" t="s">
        <v>131</v>
      </c>
      <c r="F6" s="11" t="s">
        <v>69</v>
      </c>
      <c r="G6" s="11" t="s">
        <v>177</v>
      </c>
      <c r="H6" s="11" t="s">
        <v>112</v>
      </c>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row>
    <row r="7" spans="1:105" s="12" customFormat="1" x14ac:dyDescent="0.2">
      <c r="A7" s="12" t="s">
        <v>137</v>
      </c>
      <c r="B7" s="16" t="s">
        <v>153</v>
      </c>
      <c r="C7" s="11" t="s">
        <v>100</v>
      </c>
      <c r="D7" s="12" t="s">
        <v>131</v>
      </c>
      <c r="E7" s="12" t="s">
        <v>131</v>
      </c>
      <c r="F7" s="11" t="s">
        <v>72</v>
      </c>
      <c r="G7" s="11" t="s">
        <v>178</v>
      </c>
      <c r="H7" s="11" t="s">
        <v>179</v>
      </c>
      <c r="I7" s="11" t="s">
        <v>70</v>
      </c>
      <c r="J7" s="11" t="s">
        <v>180</v>
      </c>
      <c r="K7" s="11" t="s">
        <v>135</v>
      </c>
      <c r="L7" s="11" t="s">
        <v>74</v>
      </c>
      <c r="M7" s="11" t="s">
        <v>181</v>
      </c>
      <c r="N7" s="11" t="s">
        <v>182</v>
      </c>
      <c r="O7" s="11" t="s">
        <v>74</v>
      </c>
      <c r="P7" s="11" t="s">
        <v>183</v>
      </c>
      <c r="Q7" s="11" t="s">
        <v>182</v>
      </c>
      <c r="R7" s="11" t="s">
        <v>69</v>
      </c>
      <c r="S7" s="11" t="s">
        <v>184</v>
      </c>
      <c r="T7" s="11" t="s">
        <v>185</v>
      </c>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row>
    <row r="8" spans="1:105" s="12" customFormat="1" x14ac:dyDescent="0.2">
      <c r="A8" s="12" t="s">
        <v>138</v>
      </c>
      <c r="B8" s="16" t="s">
        <v>153</v>
      </c>
      <c r="C8" s="11" t="s">
        <v>78</v>
      </c>
      <c r="D8" s="12" t="s">
        <v>131</v>
      </c>
      <c r="E8" s="12" t="s">
        <v>131</v>
      </c>
      <c r="F8" s="11" t="s">
        <v>79</v>
      </c>
      <c r="G8" s="11" t="s">
        <v>186</v>
      </c>
      <c r="H8" s="11" t="s">
        <v>83</v>
      </c>
      <c r="I8" s="11" t="s">
        <v>89</v>
      </c>
      <c r="J8" s="11" t="s">
        <v>187</v>
      </c>
      <c r="K8" s="11" t="s">
        <v>83</v>
      </c>
      <c r="L8" s="11" t="s">
        <v>70</v>
      </c>
      <c r="M8" s="11" t="s">
        <v>188</v>
      </c>
      <c r="N8" s="11" t="s">
        <v>83</v>
      </c>
      <c r="O8" s="11" t="s">
        <v>84</v>
      </c>
      <c r="P8" s="11" t="s">
        <v>189</v>
      </c>
      <c r="Q8" s="11" t="s">
        <v>83</v>
      </c>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row>
    <row r="9" spans="1:105" s="12" customFormat="1" x14ac:dyDescent="0.2">
      <c r="A9" s="12" t="s">
        <v>139</v>
      </c>
      <c r="B9" s="16" t="s">
        <v>153</v>
      </c>
      <c r="C9" s="11" t="s">
        <v>95</v>
      </c>
      <c r="D9" s="12" t="s">
        <v>131</v>
      </c>
      <c r="E9" s="12" t="s">
        <v>131</v>
      </c>
      <c r="F9" s="11" t="s">
        <v>74</v>
      </c>
      <c r="G9" s="11" t="s">
        <v>190</v>
      </c>
      <c r="H9" s="11" t="s">
        <v>191</v>
      </c>
      <c r="I9" s="11" t="s">
        <v>96</v>
      </c>
      <c r="J9" s="11" t="s">
        <v>192</v>
      </c>
      <c r="K9" s="11" t="s">
        <v>193</v>
      </c>
      <c r="L9" s="11" t="s">
        <v>88</v>
      </c>
      <c r="M9" s="11" t="s">
        <v>194</v>
      </c>
      <c r="N9" s="11" t="s">
        <v>195</v>
      </c>
      <c r="O9" s="11" t="s">
        <v>80</v>
      </c>
      <c r="P9" s="11" t="s">
        <v>196</v>
      </c>
      <c r="Q9" s="11" t="s">
        <v>197</v>
      </c>
      <c r="R9" s="11" t="s">
        <v>84</v>
      </c>
      <c r="S9" s="11" t="s">
        <v>198</v>
      </c>
      <c r="T9" s="11"/>
      <c r="U9" s="11" t="s">
        <v>70</v>
      </c>
      <c r="V9" s="11" t="s">
        <v>199</v>
      </c>
      <c r="W9" s="11" t="s">
        <v>200</v>
      </c>
      <c r="X9" s="11" t="s">
        <v>77</v>
      </c>
      <c r="Y9" s="11" t="s">
        <v>201</v>
      </c>
      <c r="Z9" s="11" t="s">
        <v>202</v>
      </c>
      <c r="AA9" s="11" t="s">
        <v>82</v>
      </c>
      <c r="AB9" s="11" t="s">
        <v>203</v>
      </c>
      <c r="AC9" s="11" t="s">
        <v>204</v>
      </c>
      <c r="AD9" s="11" t="s">
        <v>128</v>
      </c>
      <c r="AE9" s="11" t="s">
        <v>205</v>
      </c>
      <c r="AF9" s="11" t="s">
        <v>206</v>
      </c>
      <c r="AG9" s="11" t="s">
        <v>69</v>
      </c>
      <c r="AH9" s="11" t="s">
        <v>207</v>
      </c>
      <c r="AI9" s="11" t="s">
        <v>208</v>
      </c>
      <c r="AJ9" s="11" t="s">
        <v>81</v>
      </c>
      <c r="AK9" s="11" t="s">
        <v>209</v>
      </c>
      <c r="AL9" s="11" t="s">
        <v>210</v>
      </c>
      <c r="AM9" s="11" t="s">
        <v>97</v>
      </c>
      <c r="AN9" s="11" t="s">
        <v>211</v>
      </c>
      <c r="AO9" s="11" t="s">
        <v>212</v>
      </c>
      <c r="AP9" s="11" t="s">
        <v>72</v>
      </c>
      <c r="AQ9" s="11" t="s">
        <v>213</v>
      </c>
      <c r="AR9" s="11" t="s">
        <v>214</v>
      </c>
      <c r="AS9" s="11" t="s">
        <v>98</v>
      </c>
      <c r="AT9" s="11" t="s">
        <v>215</v>
      </c>
      <c r="AU9" s="11"/>
      <c r="AV9" s="11" t="s">
        <v>89</v>
      </c>
      <c r="AW9" s="11" t="s">
        <v>216</v>
      </c>
      <c r="AX9" s="11" t="s">
        <v>217</v>
      </c>
      <c r="AY9" s="11" t="s">
        <v>91</v>
      </c>
      <c r="AZ9" s="11" t="s">
        <v>218</v>
      </c>
      <c r="BA9" s="11" t="s">
        <v>219</v>
      </c>
      <c r="BB9" s="11" t="s">
        <v>86</v>
      </c>
      <c r="BC9" s="11" t="s">
        <v>220</v>
      </c>
      <c r="BD9" s="11" t="s">
        <v>221</v>
      </c>
      <c r="BE9" s="11" t="s">
        <v>90</v>
      </c>
      <c r="BF9" s="11" t="s">
        <v>222</v>
      </c>
      <c r="BG9" s="11"/>
      <c r="BH9" s="11" t="s">
        <v>99</v>
      </c>
      <c r="BI9" s="11" t="s">
        <v>223</v>
      </c>
      <c r="BJ9" s="11" t="s">
        <v>224</v>
      </c>
      <c r="BK9" s="11" t="s">
        <v>71</v>
      </c>
      <c r="BL9" s="11" t="s">
        <v>225</v>
      </c>
      <c r="BM9" s="11" t="s">
        <v>226</v>
      </c>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row>
    <row r="10" spans="1:105" s="12" customFormat="1" x14ac:dyDescent="0.2">
      <c r="A10" s="12" t="s">
        <v>140</v>
      </c>
      <c r="B10" s="16" t="s">
        <v>153</v>
      </c>
      <c r="C10" s="11" t="s">
        <v>102</v>
      </c>
      <c r="D10" s="12" t="s">
        <v>131</v>
      </c>
      <c r="E10" s="12" t="s">
        <v>131</v>
      </c>
      <c r="F10" s="11" t="s">
        <v>74</v>
      </c>
      <c r="G10" s="11" t="s">
        <v>75</v>
      </c>
      <c r="H10" s="11" t="s">
        <v>75</v>
      </c>
      <c r="I10" s="11"/>
      <c r="J10" s="11" t="s">
        <v>75</v>
      </c>
      <c r="K10" s="11" t="s">
        <v>75</v>
      </c>
      <c r="L10" s="11"/>
      <c r="M10" s="11" t="s">
        <v>75</v>
      </c>
      <c r="N10" s="11" t="s">
        <v>75</v>
      </c>
      <c r="O10" s="11"/>
      <c r="P10" s="11" t="s">
        <v>75</v>
      </c>
      <c r="Q10" s="11" t="s">
        <v>75</v>
      </c>
      <c r="R10" s="11"/>
      <c r="S10" s="11" t="s">
        <v>75</v>
      </c>
      <c r="T10" s="11" t="s">
        <v>75</v>
      </c>
      <c r="U10" s="11"/>
      <c r="V10" s="11" t="s">
        <v>75</v>
      </c>
      <c r="W10" s="11" t="s">
        <v>75</v>
      </c>
      <c r="X10" s="11"/>
      <c r="Y10" s="11" t="s">
        <v>75</v>
      </c>
      <c r="Z10" s="11" t="s">
        <v>75</v>
      </c>
      <c r="AA10" s="11"/>
      <c r="AB10" s="11" t="s">
        <v>75</v>
      </c>
      <c r="AC10" s="11" t="s">
        <v>75</v>
      </c>
      <c r="AD10" s="11"/>
      <c r="AE10" s="11" t="s">
        <v>75</v>
      </c>
      <c r="AF10" s="11" t="s">
        <v>75</v>
      </c>
      <c r="AG10" s="11"/>
      <c r="AH10" s="11" t="s">
        <v>75</v>
      </c>
      <c r="AI10" s="11" t="s">
        <v>75</v>
      </c>
      <c r="AJ10" s="11"/>
      <c r="AK10" s="11" t="s">
        <v>75</v>
      </c>
      <c r="AL10" s="11" t="s">
        <v>75</v>
      </c>
      <c r="AM10" s="11"/>
      <c r="AN10" s="11" t="s">
        <v>75</v>
      </c>
      <c r="AO10" s="11" t="s">
        <v>75</v>
      </c>
      <c r="AP10" s="11"/>
      <c r="AQ10" s="11" t="s">
        <v>75</v>
      </c>
      <c r="AR10" s="11" t="s">
        <v>75</v>
      </c>
      <c r="AS10" s="11"/>
      <c r="AT10" s="11" t="s">
        <v>75</v>
      </c>
      <c r="AU10" s="11" t="s">
        <v>75</v>
      </c>
      <c r="AV10" s="11"/>
      <c r="AW10" s="11" t="s">
        <v>75</v>
      </c>
      <c r="AX10" s="11" t="s">
        <v>75</v>
      </c>
      <c r="AY10" s="11"/>
      <c r="AZ10" s="11" t="s">
        <v>75</v>
      </c>
      <c r="BA10" s="11" t="s">
        <v>75</v>
      </c>
      <c r="BB10" s="11"/>
      <c r="BC10" s="11" t="s">
        <v>75</v>
      </c>
      <c r="BD10" s="11" t="s">
        <v>75</v>
      </c>
      <c r="BE10" s="11"/>
      <c r="BF10" s="11" t="s">
        <v>75</v>
      </c>
      <c r="BG10" s="11" t="s">
        <v>75</v>
      </c>
      <c r="BH10" s="11"/>
      <c r="BI10" s="11" t="s">
        <v>75</v>
      </c>
      <c r="BJ10" s="11" t="s">
        <v>75</v>
      </c>
      <c r="BK10" s="11"/>
      <c r="BL10" s="11" t="s">
        <v>75</v>
      </c>
      <c r="BM10" s="11" t="s">
        <v>75</v>
      </c>
      <c r="BN10" s="11"/>
      <c r="BO10" s="11" t="s">
        <v>75</v>
      </c>
      <c r="BP10" s="11" t="s">
        <v>75</v>
      </c>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row>
    <row r="11" spans="1:105" s="12" customFormat="1" x14ac:dyDescent="0.2">
      <c r="A11" s="12" t="s">
        <v>141</v>
      </c>
      <c r="B11" s="16" t="s">
        <v>153</v>
      </c>
      <c r="C11" s="11" t="s">
        <v>114</v>
      </c>
      <c r="D11" s="12" t="s">
        <v>131</v>
      </c>
      <c r="E11" s="12" t="s">
        <v>131</v>
      </c>
      <c r="F11" s="11" t="s">
        <v>69</v>
      </c>
      <c r="G11" s="11" t="s">
        <v>227</v>
      </c>
      <c r="H11" s="11" t="s">
        <v>228</v>
      </c>
      <c r="I11" s="11" t="s">
        <v>88</v>
      </c>
      <c r="J11" s="11" t="s">
        <v>229</v>
      </c>
      <c r="K11" s="11" t="s">
        <v>230</v>
      </c>
      <c r="L11" s="11" t="s">
        <v>128</v>
      </c>
      <c r="M11" s="11" t="s">
        <v>231</v>
      </c>
      <c r="N11" s="11" t="s">
        <v>115</v>
      </c>
      <c r="O11" s="11" t="s">
        <v>81</v>
      </c>
      <c r="P11" s="11" t="s">
        <v>232</v>
      </c>
      <c r="Q11" s="11" t="s">
        <v>115</v>
      </c>
      <c r="R11" s="11" t="s">
        <v>90</v>
      </c>
      <c r="S11" s="11" t="s">
        <v>233</v>
      </c>
      <c r="T11" s="11" t="s">
        <v>115</v>
      </c>
      <c r="U11" s="11" t="s">
        <v>80</v>
      </c>
      <c r="V11" s="11" t="s">
        <v>234</v>
      </c>
      <c r="W11" s="11" t="s">
        <v>115</v>
      </c>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row>
    <row r="12" spans="1:105" s="12" customFormat="1" x14ac:dyDescent="0.2">
      <c r="A12" s="12" t="s">
        <v>142</v>
      </c>
      <c r="B12" s="16" t="s">
        <v>153</v>
      </c>
      <c r="C12" s="11" t="s">
        <v>101</v>
      </c>
      <c r="D12" s="12" t="s">
        <v>131</v>
      </c>
      <c r="E12" s="12" t="s">
        <v>131</v>
      </c>
      <c r="F12" s="11" t="s">
        <v>69</v>
      </c>
      <c r="G12" s="11" t="s">
        <v>235</v>
      </c>
      <c r="H12" s="11" t="s">
        <v>236</v>
      </c>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row>
    <row r="13" spans="1:105" s="12" customFormat="1" x14ac:dyDescent="0.2">
      <c r="A13" s="12" t="s">
        <v>143</v>
      </c>
      <c r="B13" s="16" t="s">
        <v>153</v>
      </c>
      <c r="C13" s="11" t="s">
        <v>113</v>
      </c>
      <c r="D13" s="12" t="s">
        <v>131</v>
      </c>
      <c r="E13" s="12" t="s">
        <v>131</v>
      </c>
      <c r="F13" s="11" t="s">
        <v>74</v>
      </c>
      <c r="G13" s="11" t="s">
        <v>237</v>
      </c>
      <c r="H13" s="11" t="s">
        <v>112</v>
      </c>
      <c r="I13" s="11" t="s">
        <v>96</v>
      </c>
      <c r="J13" s="11" t="s">
        <v>238</v>
      </c>
      <c r="K13" s="11" t="s">
        <v>112</v>
      </c>
      <c r="L13" s="11" t="s">
        <v>88</v>
      </c>
      <c r="M13" s="11" t="s">
        <v>239</v>
      </c>
      <c r="N13" s="11" t="s">
        <v>112</v>
      </c>
      <c r="O13" s="11" t="s">
        <v>80</v>
      </c>
      <c r="P13" s="11" t="s">
        <v>240</v>
      </c>
      <c r="Q13" s="11" t="s">
        <v>112</v>
      </c>
      <c r="R13" s="11" t="s">
        <v>84</v>
      </c>
      <c r="S13" s="11" t="s">
        <v>241</v>
      </c>
      <c r="T13" s="11" t="s">
        <v>112</v>
      </c>
      <c r="U13" s="11" t="s">
        <v>70</v>
      </c>
      <c r="V13" s="11" t="s">
        <v>242</v>
      </c>
      <c r="W13" s="11" t="s">
        <v>112</v>
      </c>
      <c r="X13" s="11" t="s">
        <v>77</v>
      </c>
      <c r="Y13" s="11" t="s">
        <v>243</v>
      </c>
      <c r="Z13" s="11" t="s">
        <v>112</v>
      </c>
      <c r="AA13" s="11" t="s">
        <v>82</v>
      </c>
      <c r="AB13" s="11" t="s">
        <v>244</v>
      </c>
      <c r="AC13" s="11" t="s">
        <v>112</v>
      </c>
      <c r="AD13" s="11" t="s">
        <v>128</v>
      </c>
      <c r="AE13" s="11" t="s">
        <v>245</v>
      </c>
      <c r="AF13" s="11" t="s">
        <v>112</v>
      </c>
      <c r="AG13" s="11" t="s">
        <v>69</v>
      </c>
      <c r="AH13" s="11" t="s">
        <v>246</v>
      </c>
      <c r="AI13" s="11" t="s">
        <v>112</v>
      </c>
      <c r="AJ13" s="11" t="s">
        <v>81</v>
      </c>
      <c r="AK13" s="11" t="s">
        <v>247</v>
      </c>
      <c r="AL13" s="11" t="s">
        <v>112</v>
      </c>
      <c r="AM13" s="11" t="s">
        <v>97</v>
      </c>
      <c r="AN13" s="11" t="s">
        <v>248</v>
      </c>
      <c r="AO13" s="11" t="s">
        <v>112</v>
      </c>
      <c r="AP13" s="11" t="s">
        <v>79</v>
      </c>
      <c r="AQ13" s="11" t="s">
        <v>249</v>
      </c>
      <c r="AR13" s="11" t="s">
        <v>112</v>
      </c>
      <c r="AS13" s="11" t="s">
        <v>72</v>
      </c>
      <c r="AT13" s="11" t="s">
        <v>250</v>
      </c>
      <c r="AU13" s="11" t="s">
        <v>112</v>
      </c>
      <c r="AV13" s="11" t="s">
        <v>98</v>
      </c>
      <c r="AW13" s="11" t="s">
        <v>251</v>
      </c>
      <c r="AX13" s="11" t="s">
        <v>112</v>
      </c>
      <c r="AY13" s="11" t="s">
        <v>89</v>
      </c>
      <c r="AZ13" s="11" t="s">
        <v>252</v>
      </c>
      <c r="BA13" s="11" t="s">
        <v>112</v>
      </c>
      <c r="BB13" s="11" t="s">
        <v>91</v>
      </c>
      <c r="BC13" s="11" t="s">
        <v>253</v>
      </c>
      <c r="BD13" s="11" t="s">
        <v>112</v>
      </c>
      <c r="BE13" s="11" t="s">
        <v>86</v>
      </c>
      <c r="BF13" s="11" t="s">
        <v>254</v>
      </c>
      <c r="BG13" s="11" t="s">
        <v>112</v>
      </c>
      <c r="BH13" s="11" t="s">
        <v>90</v>
      </c>
      <c r="BI13" s="11" t="s">
        <v>255</v>
      </c>
      <c r="BJ13" s="11" t="s">
        <v>112</v>
      </c>
      <c r="BK13" s="11" t="s">
        <v>99</v>
      </c>
      <c r="BL13" s="11" t="s">
        <v>256</v>
      </c>
      <c r="BM13" s="11" t="s">
        <v>112</v>
      </c>
      <c r="BN13" s="11" t="s">
        <v>71</v>
      </c>
      <c r="BO13" s="11" t="s">
        <v>257</v>
      </c>
      <c r="BP13" s="11" t="s">
        <v>112</v>
      </c>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row>
    <row r="14" spans="1:105" s="12" customFormat="1" x14ac:dyDescent="0.2">
      <c r="A14" s="12" t="s">
        <v>144</v>
      </c>
      <c r="B14" s="16" t="s">
        <v>153</v>
      </c>
      <c r="C14" s="11" t="s">
        <v>105</v>
      </c>
      <c r="D14" s="12" t="s">
        <v>131</v>
      </c>
      <c r="E14" s="12" t="s">
        <v>131</v>
      </c>
      <c r="F14" s="11" t="s">
        <v>74</v>
      </c>
      <c r="G14" s="11" t="s">
        <v>258</v>
      </c>
      <c r="H14" s="11" t="s">
        <v>259</v>
      </c>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row>
    <row r="15" spans="1:105" s="12" customFormat="1" x14ac:dyDescent="0.2">
      <c r="A15" s="12" t="s">
        <v>145</v>
      </c>
      <c r="B15" s="16" t="s">
        <v>153</v>
      </c>
      <c r="C15" s="11" t="s">
        <v>73</v>
      </c>
      <c r="D15" s="12" t="s">
        <v>131</v>
      </c>
      <c r="E15" s="12" t="s">
        <v>131</v>
      </c>
      <c r="F15" s="11" t="s">
        <v>71</v>
      </c>
      <c r="G15" s="11" t="s">
        <v>260</v>
      </c>
      <c r="H15" s="11" t="s">
        <v>75</v>
      </c>
      <c r="I15" s="11"/>
      <c r="J15" s="11" t="s">
        <v>261</v>
      </c>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row>
    <row r="16" spans="1:105" s="12" customFormat="1" x14ac:dyDescent="0.2">
      <c r="A16" s="12" t="s">
        <v>146</v>
      </c>
      <c r="B16" s="16" t="s">
        <v>153</v>
      </c>
      <c r="C16" s="11" t="s">
        <v>104</v>
      </c>
      <c r="D16" s="12" t="s">
        <v>131</v>
      </c>
      <c r="E16" s="12" t="s">
        <v>131</v>
      </c>
      <c r="F16" s="11" t="s">
        <v>69</v>
      </c>
      <c r="G16" s="11" t="s">
        <v>75</v>
      </c>
      <c r="H16" s="11" t="s">
        <v>75</v>
      </c>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row>
    <row r="17" spans="1:105" s="12" customFormat="1" x14ac:dyDescent="0.2">
      <c r="A17" s="12" t="s">
        <v>148</v>
      </c>
      <c r="B17" s="16" t="s">
        <v>153</v>
      </c>
      <c r="C17" s="11" t="s">
        <v>76</v>
      </c>
      <c r="D17" s="12" t="s">
        <v>131</v>
      </c>
      <c r="E17" s="12" t="s">
        <v>131</v>
      </c>
      <c r="F17" s="11" t="s">
        <v>72</v>
      </c>
      <c r="G17" s="11" t="s">
        <v>262</v>
      </c>
      <c r="H17" s="11" t="s">
        <v>112</v>
      </c>
      <c r="I17" s="11"/>
      <c r="J17" s="11" t="s">
        <v>112</v>
      </c>
      <c r="K17" s="11" t="s">
        <v>112</v>
      </c>
      <c r="L17" s="11"/>
      <c r="M17" s="11" t="s">
        <v>112</v>
      </c>
      <c r="N17" s="11" t="s">
        <v>112</v>
      </c>
      <c r="O17" s="11"/>
      <c r="P17" s="11" t="s">
        <v>112</v>
      </c>
      <c r="Q17" s="11" t="s">
        <v>112</v>
      </c>
      <c r="R17" s="11"/>
      <c r="S17" s="11" t="s">
        <v>112</v>
      </c>
      <c r="T17" s="11" t="s">
        <v>112</v>
      </c>
      <c r="U17" s="11"/>
      <c r="V17" s="11" t="s">
        <v>112</v>
      </c>
      <c r="W17" s="11" t="s">
        <v>112</v>
      </c>
      <c r="X17" s="11"/>
      <c r="Y17" s="11" t="s">
        <v>112</v>
      </c>
      <c r="Z17" s="11" t="s">
        <v>112</v>
      </c>
      <c r="AA17" s="11"/>
      <c r="AB17" s="11" t="s">
        <v>112</v>
      </c>
      <c r="AC17" s="11" t="s">
        <v>112</v>
      </c>
      <c r="AD17" s="11"/>
      <c r="AE17" s="11" t="s">
        <v>112</v>
      </c>
      <c r="AF17" s="11" t="s">
        <v>112</v>
      </c>
      <c r="AG17" s="11"/>
      <c r="AH17" s="11" t="s">
        <v>112</v>
      </c>
      <c r="AI17" s="11" t="s">
        <v>112</v>
      </c>
      <c r="AJ17" s="11"/>
      <c r="AK17" s="11" t="s">
        <v>112</v>
      </c>
      <c r="AL17" s="11" t="s">
        <v>112</v>
      </c>
      <c r="AM17" s="11"/>
      <c r="AN17" s="11" t="s">
        <v>112</v>
      </c>
      <c r="AO17" s="11" t="s">
        <v>112</v>
      </c>
      <c r="AP17" s="11"/>
      <c r="AQ17" s="11" t="s">
        <v>112</v>
      </c>
      <c r="AR17" s="11" t="s">
        <v>112</v>
      </c>
      <c r="AS17" s="11"/>
      <c r="AT17" s="11" t="s">
        <v>112</v>
      </c>
      <c r="AU17" s="11" t="s">
        <v>112</v>
      </c>
      <c r="AV17" s="11"/>
      <c r="AW17" s="11" t="s">
        <v>112</v>
      </c>
      <c r="AX17" s="11" t="s">
        <v>112</v>
      </c>
      <c r="AY17" s="11"/>
      <c r="AZ17" s="11" t="s">
        <v>112</v>
      </c>
      <c r="BA17" s="11" t="s">
        <v>112</v>
      </c>
      <c r="BB17" s="11"/>
      <c r="BC17" s="11" t="s">
        <v>112</v>
      </c>
      <c r="BD17" s="11" t="s">
        <v>112</v>
      </c>
      <c r="BE17" s="11"/>
      <c r="BF17" s="11" t="s">
        <v>112</v>
      </c>
      <c r="BG17" s="11" t="s">
        <v>112</v>
      </c>
      <c r="BH17" s="11"/>
      <c r="BI17" s="11" t="s">
        <v>112</v>
      </c>
      <c r="BJ17" s="11" t="s">
        <v>112</v>
      </c>
      <c r="BK17" s="11"/>
      <c r="BL17" s="11" t="s">
        <v>112</v>
      </c>
      <c r="BM17" s="11" t="s">
        <v>112</v>
      </c>
      <c r="BN17" s="11"/>
      <c r="BO17" s="11" t="s">
        <v>112</v>
      </c>
      <c r="BP17" s="11" t="s">
        <v>112</v>
      </c>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row>
    <row r="18" spans="1:105" s="12" customFormat="1" x14ac:dyDescent="0.2">
      <c r="A18" s="12" t="s">
        <v>149</v>
      </c>
      <c r="B18" s="16" t="s">
        <v>153</v>
      </c>
      <c r="C18" s="11" t="s">
        <v>87</v>
      </c>
      <c r="D18" s="12" t="s">
        <v>131</v>
      </c>
      <c r="E18" s="12" t="s">
        <v>131</v>
      </c>
      <c r="F18" s="11" t="s">
        <v>74</v>
      </c>
      <c r="G18" s="11" t="s">
        <v>263</v>
      </c>
      <c r="H18" s="11" t="s">
        <v>264</v>
      </c>
      <c r="I18" s="11" t="s">
        <v>96</v>
      </c>
      <c r="J18" s="11" t="s">
        <v>265</v>
      </c>
      <c r="K18" s="11" t="s">
        <v>266</v>
      </c>
      <c r="L18" s="11" t="s">
        <v>88</v>
      </c>
      <c r="M18" s="11" t="s">
        <v>267</v>
      </c>
      <c r="N18" s="11"/>
      <c r="O18" s="11" t="s">
        <v>80</v>
      </c>
      <c r="P18" s="11" t="s">
        <v>268</v>
      </c>
      <c r="Q18" s="11"/>
      <c r="R18" s="11" t="s">
        <v>84</v>
      </c>
      <c r="S18" s="11" t="s">
        <v>269</v>
      </c>
      <c r="T18" s="11"/>
      <c r="U18" s="11" t="s">
        <v>70</v>
      </c>
      <c r="V18" s="11" t="s">
        <v>270</v>
      </c>
      <c r="W18" s="11" t="s">
        <v>271</v>
      </c>
      <c r="X18" s="11" t="s">
        <v>77</v>
      </c>
      <c r="Y18" s="11" t="s">
        <v>272</v>
      </c>
      <c r="Z18" s="11"/>
      <c r="AA18" s="11" t="s">
        <v>82</v>
      </c>
      <c r="AB18" s="11" t="s">
        <v>273</v>
      </c>
      <c r="AC18" s="11"/>
      <c r="AD18" s="11" t="s">
        <v>128</v>
      </c>
      <c r="AE18" s="11" t="s">
        <v>274</v>
      </c>
      <c r="AF18" s="11"/>
      <c r="AG18" s="11" t="s">
        <v>69</v>
      </c>
      <c r="AH18" s="11" t="s">
        <v>275</v>
      </c>
      <c r="AI18" s="11"/>
      <c r="AJ18" s="11" t="s">
        <v>81</v>
      </c>
      <c r="AK18" s="11" t="s">
        <v>276</v>
      </c>
      <c r="AL18" s="11"/>
      <c r="AM18" s="11" t="s">
        <v>97</v>
      </c>
      <c r="AN18" s="11" t="s">
        <v>277</v>
      </c>
      <c r="AO18" s="11"/>
      <c r="AP18" s="11" t="s">
        <v>79</v>
      </c>
      <c r="AQ18" s="11" t="s">
        <v>278</v>
      </c>
      <c r="AR18" s="11"/>
      <c r="AS18" s="11" t="s">
        <v>72</v>
      </c>
      <c r="AT18" s="11" t="s">
        <v>279</v>
      </c>
      <c r="AU18" s="11"/>
      <c r="AV18" s="11" t="s">
        <v>98</v>
      </c>
      <c r="AW18" s="11" t="s">
        <v>280</v>
      </c>
      <c r="AX18" s="11"/>
      <c r="AY18" s="11" t="s">
        <v>89</v>
      </c>
      <c r="AZ18" s="11" t="s">
        <v>281</v>
      </c>
      <c r="BA18" s="11" t="s">
        <v>282</v>
      </c>
      <c r="BB18" s="11" t="s">
        <v>91</v>
      </c>
      <c r="BC18" s="11" t="s">
        <v>283</v>
      </c>
      <c r="BD18" s="11"/>
      <c r="BE18" s="11" t="s">
        <v>86</v>
      </c>
      <c r="BF18" s="11" t="s">
        <v>283</v>
      </c>
      <c r="BG18" s="11"/>
      <c r="BH18" s="11" t="s">
        <v>90</v>
      </c>
      <c r="BI18" s="11" t="s">
        <v>284</v>
      </c>
      <c r="BJ18" s="11"/>
      <c r="BK18" s="11" t="s">
        <v>99</v>
      </c>
      <c r="BL18" s="11" t="s">
        <v>283</v>
      </c>
      <c r="BM18" s="11"/>
      <c r="BN18" s="11" t="s">
        <v>71</v>
      </c>
      <c r="BO18" s="11" t="s">
        <v>283</v>
      </c>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row>
    <row r="19" spans="1:105" s="12" customFormat="1" x14ac:dyDescent="0.2">
      <c r="A19" s="12" t="s">
        <v>150</v>
      </c>
      <c r="B19" s="16" t="s">
        <v>153</v>
      </c>
      <c r="C19" s="11" t="s">
        <v>116</v>
      </c>
      <c r="D19" s="12" t="s">
        <v>131</v>
      </c>
      <c r="E19" s="12" t="s">
        <v>131</v>
      </c>
      <c r="F19" s="11" t="s">
        <v>70</v>
      </c>
      <c r="G19" s="11" t="s">
        <v>285</v>
      </c>
      <c r="H19" s="11" t="s">
        <v>286</v>
      </c>
      <c r="I19" s="11" t="s">
        <v>82</v>
      </c>
      <c r="J19" s="11" t="s">
        <v>287</v>
      </c>
      <c r="K19" s="11" t="s">
        <v>288</v>
      </c>
      <c r="L19" s="11" t="s">
        <v>96</v>
      </c>
      <c r="M19" s="11" t="s">
        <v>289</v>
      </c>
      <c r="N19" s="11" t="s">
        <v>290</v>
      </c>
      <c r="O19" s="11" t="s">
        <v>74</v>
      </c>
      <c r="P19" s="11" t="s">
        <v>291</v>
      </c>
      <c r="Q19" s="11" t="s">
        <v>292</v>
      </c>
      <c r="R19" s="11" t="s">
        <v>84</v>
      </c>
      <c r="S19" s="11" t="s">
        <v>293</v>
      </c>
      <c r="T19" s="11" t="s">
        <v>294</v>
      </c>
      <c r="U19" s="11" t="s">
        <v>96</v>
      </c>
      <c r="V19" s="11" t="s">
        <v>295</v>
      </c>
      <c r="W19" s="11" t="s">
        <v>296</v>
      </c>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row>
    <row r="20" spans="1:105" s="12" customFormat="1" x14ac:dyDescent="0.2">
      <c r="A20" s="12" t="s">
        <v>151</v>
      </c>
      <c r="B20" s="16" t="s">
        <v>153</v>
      </c>
      <c r="C20" s="11" t="s">
        <v>117</v>
      </c>
      <c r="D20" s="12" t="s">
        <v>131</v>
      </c>
      <c r="E20" s="12" t="s">
        <v>131</v>
      </c>
      <c r="F20" s="11" t="s">
        <v>69</v>
      </c>
      <c r="G20" s="11" t="s">
        <v>297</v>
      </c>
      <c r="H20" s="11" t="s">
        <v>298</v>
      </c>
      <c r="I20" s="11" t="s">
        <v>80</v>
      </c>
      <c r="J20" s="11" t="s">
        <v>299</v>
      </c>
      <c r="K20" s="11" t="s">
        <v>298</v>
      </c>
      <c r="L20" s="11" t="s">
        <v>74</v>
      </c>
      <c r="M20" s="11" t="s">
        <v>300</v>
      </c>
      <c r="N20" s="11" t="s">
        <v>298</v>
      </c>
      <c r="O20" s="11" t="s">
        <v>84</v>
      </c>
      <c r="P20" s="11" t="s">
        <v>301</v>
      </c>
      <c r="Q20" s="11" t="s">
        <v>298</v>
      </c>
      <c r="R20" s="11"/>
      <c r="S20" s="11" t="s">
        <v>298</v>
      </c>
      <c r="T20" s="11" t="s">
        <v>298</v>
      </c>
      <c r="U20" s="11"/>
      <c r="V20" s="11" t="s">
        <v>298</v>
      </c>
      <c r="W20" s="11" t="s">
        <v>298</v>
      </c>
      <c r="X20" s="11"/>
      <c r="Y20" s="11" t="s">
        <v>298</v>
      </c>
      <c r="Z20" s="11" t="s">
        <v>298</v>
      </c>
      <c r="AA20" s="11"/>
      <c r="AB20" s="11" t="s">
        <v>298</v>
      </c>
      <c r="AC20" s="11" t="s">
        <v>298</v>
      </c>
      <c r="AD20" s="11"/>
      <c r="AE20" s="11" t="s">
        <v>298</v>
      </c>
      <c r="AF20" s="11" t="s">
        <v>298</v>
      </c>
      <c r="AG20" s="11"/>
      <c r="AH20" s="11" t="s">
        <v>298</v>
      </c>
      <c r="AI20" s="11" t="s">
        <v>298</v>
      </c>
      <c r="AJ20" s="11"/>
      <c r="AK20" s="11" t="s">
        <v>298</v>
      </c>
      <c r="AL20" s="11" t="s">
        <v>298</v>
      </c>
      <c r="AM20" s="11"/>
      <c r="AN20" s="11" t="s">
        <v>298</v>
      </c>
      <c r="AO20" s="11" t="s">
        <v>298</v>
      </c>
      <c r="AP20" s="11"/>
      <c r="AQ20" s="11" t="s">
        <v>298</v>
      </c>
      <c r="AR20" s="11" t="s">
        <v>298</v>
      </c>
      <c r="AS20" s="11"/>
      <c r="AT20" s="11" t="s">
        <v>298</v>
      </c>
      <c r="AU20" s="11" t="s">
        <v>298</v>
      </c>
      <c r="AV20" s="11"/>
      <c r="AW20" s="11" t="s">
        <v>298</v>
      </c>
      <c r="AX20" s="11" t="s">
        <v>298</v>
      </c>
      <c r="AY20" s="11"/>
      <c r="AZ20" s="11" t="s">
        <v>298</v>
      </c>
      <c r="BA20" s="11" t="s">
        <v>298</v>
      </c>
      <c r="BB20" s="11"/>
      <c r="BC20" s="11" t="s">
        <v>298</v>
      </c>
      <c r="BD20" s="11" t="s">
        <v>298</v>
      </c>
      <c r="BE20" s="11"/>
      <c r="BF20" s="11" t="s">
        <v>298</v>
      </c>
      <c r="BG20" s="11" t="s">
        <v>298</v>
      </c>
      <c r="BH20" s="11"/>
      <c r="BI20" s="11" t="s">
        <v>298</v>
      </c>
      <c r="BJ20" s="11" t="s">
        <v>298</v>
      </c>
      <c r="BK20" s="11"/>
      <c r="BL20" s="11" t="s">
        <v>298</v>
      </c>
      <c r="BM20" s="11" t="s">
        <v>298</v>
      </c>
      <c r="BN20" s="11"/>
      <c r="BO20" s="11" t="s">
        <v>298</v>
      </c>
      <c r="BP20" s="11" t="s">
        <v>298</v>
      </c>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row>
    <row r="21" spans="1:105" s="12" customFormat="1" ht="15.75" customHeight="1" x14ac:dyDescent="0.2">
      <c r="A21" s="12" t="s">
        <v>152</v>
      </c>
      <c r="B21" s="16" t="s">
        <v>153</v>
      </c>
      <c r="C21" s="11" t="s">
        <v>106</v>
      </c>
      <c r="D21" s="12" t="s">
        <v>131</v>
      </c>
      <c r="E21" s="12" t="s">
        <v>131</v>
      </c>
      <c r="F21" s="11" t="s">
        <v>79</v>
      </c>
      <c r="G21" s="11" t="s">
        <v>302</v>
      </c>
      <c r="H21" s="11" t="s">
        <v>303</v>
      </c>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row>
    <row r="22" spans="1:105" ht="15.75" customHeight="1" x14ac:dyDescent="0.2">
      <c r="A22" s="12" t="s">
        <v>155</v>
      </c>
      <c r="B22" s="16" t="s">
        <v>153</v>
      </c>
      <c r="C22" s="11" t="s">
        <v>109</v>
      </c>
      <c r="D22" s="12" t="s">
        <v>131</v>
      </c>
      <c r="E22" s="12" t="s">
        <v>131</v>
      </c>
      <c r="F22" s="11" t="s">
        <v>74</v>
      </c>
      <c r="G22" s="11" t="s">
        <v>147</v>
      </c>
      <c r="H22" s="11" t="s">
        <v>147</v>
      </c>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row>
    <row r="23" spans="1:105" ht="15.75" customHeight="1" x14ac:dyDescent="0.2">
      <c r="A23" s="12" t="s">
        <v>156</v>
      </c>
      <c r="B23" s="16" t="s">
        <v>153</v>
      </c>
      <c r="C23" s="11" t="s">
        <v>103</v>
      </c>
      <c r="D23" s="12" t="s">
        <v>131</v>
      </c>
      <c r="E23" s="12" t="s">
        <v>131</v>
      </c>
      <c r="F23" s="11" t="s">
        <v>96</v>
      </c>
      <c r="G23" s="11" t="s">
        <v>304</v>
      </c>
      <c r="H23" s="11" t="s">
        <v>304</v>
      </c>
      <c r="I23" s="11" t="s">
        <v>77</v>
      </c>
      <c r="J23" s="11" t="s">
        <v>305</v>
      </c>
      <c r="K23" s="11" t="s">
        <v>305</v>
      </c>
      <c r="L23" s="11" t="s">
        <v>69</v>
      </c>
      <c r="M23" s="11" t="s">
        <v>306</v>
      </c>
      <c r="N23" s="11" t="s">
        <v>306</v>
      </c>
      <c r="O23" s="11" t="s">
        <v>86</v>
      </c>
      <c r="P23" s="11" t="s">
        <v>307</v>
      </c>
      <c r="Q23" s="11" t="s">
        <v>307</v>
      </c>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c r="AP23" s="11"/>
      <c r="AQ23" s="11"/>
      <c r="AR23" s="11"/>
      <c r="AS23" s="11"/>
      <c r="AT23" s="11"/>
      <c r="AU23" s="11"/>
      <c r="AV23" s="11"/>
      <c r="AW23" s="11"/>
      <c r="AX23" s="11"/>
      <c r="AY23" s="11"/>
      <c r="AZ23" s="11"/>
      <c r="BA23" s="11"/>
      <c r="BB23" s="11"/>
      <c r="BC23" s="11"/>
      <c r="BD23" s="11"/>
      <c r="BE23" s="11"/>
      <c r="BF23" s="11"/>
      <c r="BG23" s="11"/>
      <c r="BH23" s="11"/>
      <c r="BI23" s="11"/>
      <c r="BJ23" s="11"/>
      <c r="BK23" s="11"/>
      <c r="BL23" s="11"/>
      <c r="BM23" s="11"/>
      <c r="BN23" s="11"/>
      <c r="BO23" s="11"/>
      <c r="BP23" s="11"/>
      <c r="BQ23" s="11"/>
      <c r="BR23" s="11"/>
      <c r="BS23" s="11"/>
      <c r="BT23" s="11"/>
      <c r="BU23" s="11"/>
      <c r="BV23" s="11"/>
      <c r="BW23" s="11"/>
      <c r="BX23" s="11"/>
      <c r="BY23" s="11"/>
      <c r="BZ23" s="11"/>
      <c r="CA23" s="11"/>
      <c r="CB23" s="11"/>
      <c r="CC23" s="11"/>
      <c r="CD23" s="11"/>
      <c r="CE23" s="11"/>
      <c r="CF23" s="11"/>
      <c r="CG23" s="11"/>
      <c r="CH23" s="11"/>
      <c r="CI23" s="11"/>
      <c r="CJ23" s="11"/>
      <c r="CK23" s="11"/>
      <c r="CL23" s="11"/>
      <c r="CM23" s="11"/>
      <c r="CN23" s="11"/>
      <c r="CO23" s="11"/>
      <c r="CP23" s="11"/>
      <c r="CQ23" s="11"/>
      <c r="CR23" s="11"/>
      <c r="CS23" s="11"/>
      <c r="CT23" s="11"/>
      <c r="CU23" s="11"/>
      <c r="CV23" s="11"/>
      <c r="CW23" s="11"/>
      <c r="CX23" s="11"/>
      <c r="CY23" s="11"/>
      <c r="CZ23" s="11"/>
      <c r="DA23" s="11"/>
    </row>
    <row r="24" spans="1:105" ht="15.75" customHeight="1" x14ac:dyDescent="0.2">
      <c r="A24" s="12" t="s">
        <v>157</v>
      </c>
      <c r="B24" s="16" t="s">
        <v>153</v>
      </c>
      <c r="C24" s="11" t="s">
        <v>154</v>
      </c>
      <c r="D24" s="12" t="s">
        <v>131</v>
      </c>
      <c r="E24" s="12" t="s">
        <v>131</v>
      </c>
      <c r="F24" s="11" t="s">
        <v>69</v>
      </c>
      <c r="G24" s="11" t="s">
        <v>308</v>
      </c>
      <c r="H24" s="11" t="s">
        <v>75</v>
      </c>
      <c r="I24" s="11" t="s">
        <v>79</v>
      </c>
      <c r="J24" s="11" t="s">
        <v>309</v>
      </c>
      <c r="K24" s="11" t="s">
        <v>75</v>
      </c>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row>
    <row r="25" spans="1:105" ht="15.75" customHeight="1" x14ac:dyDescent="0.2"/>
    <row r="26" spans="1:105" ht="15.75" customHeight="1" x14ac:dyDescent="0.2"/>
    <row r="27" spans="1:105" ht="15.75" customHeight="1" x14ac:dyDescent="0.2"/>
    <row r="28" spans="1:105" ht="15.75" customHeight="1" x14ac:dyDescent="0.2"/>
    <row r="29" spans="1:105" ht="15.75" customHeight="1" x14ac:dyDescent="0.2"/>
    <row r="30" spans="1:105" ht="15.75" customHeight="1" x14ac:dyDescent="0.2"/>
    <row r="31" spans="1:105" ht="15.75" customHeight="1" x14ac:dyDescent="0.2"/>
    <row r="32" spans="1:105"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sheetData>
  <phoneticPr fontId="4" type="noConversion"/>
  <pageMargins left="0.7" right="0.7" top="0.75" bottom="0.75"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H116"/>
  <sheetViews>
    <sheetView workbookViewId="0">
      <pane ySplit="1" topLeftCell="A115" activePane="bottomLeft" state="frozen"/>
      <selection pane="bottomLeft" activeCell="B1" sqref="B1:B1048576"/>
    </sheetView>
  </sheetViews>
  <sheetFormatPr baseColWidth="10" defaultColWidth="11.5" defaultRowHeight="15" x14ac:dyDescent="0.2"/>
  <cols>
    <col min="1" max="1" width="11.5" style="1"/>
    <col min="2" max="2" width="23" style="14" customWidth="1"/>
    <col min="3" max="3" width="40.83203125" style="1" customWidth="1"/>
    <col min="4" max="4" width="41" style="1" customWidth="1"/>
    <col min="5" max="5" width="38.5" style="1" bestFit="1" customWidth="1"/>
    <col min="6" max="6" width="26.1640625" style="1" bestFit="1" customWidth="1"/>
    <col min="7" max="7" width="31.33203125" style="1" customWidth="1"/>
    <col min="8" max="8" width="49.5" style="1" customWidth="1"/>
    <col min="9" max="16384" width="11.5" style="1"/>
  </cols>
  <sheetData>
    <row r="1" spans="1:8" s="5" customFormat="1" x14ac:dyDescent="0.2">
      <c r="A1" s="6" t="s">
        <v>119</v>
      </c>
      <c r="B1" s="7" t="s">
        <v>120</v>
      </c>
      <c r="C1" s="6" t="s">
        <v>121</v>
      </c>
      <c r="D1" s="6" t="s">
        <v>124</v>
      </c>
      <c r="E1" s="6" t="s">
        <v>125</v>
      </c>
      <c r="F1" s="6" t="s">
        <v>118</v>
      </c>
      <c r="G1" s="6" t="s">
        <v>122</v>
      </c>
      <c r="H1" s="6" t="s">
        <v>123</v>
      </c>
    </row>
    <row r="2" spans="1:8" x14ac:dyDescent="0.2">
      <c r="A2" s="1">
        <v>203023</v>
      </c>
      <c r="B2" s="14">
        <v>44484</v>
      </c>
      <c r="C2" s="1" t="s">
        <v>93</v>
      </c>
      <c r="D2" s="1" t="s">
        <v>131</v>
      </c>
      <c r="E2" s="1" t="s">
        <v>131</v>
      </c>
      <c r="F2" s="1" t="s">
        <v>74</v>
      </c>
      <c r="G2" s="1" t="s">
        <v>94</v>
      </c>
      <c r="H2" s="1" t="s">
        <v>94</v>
      </c>
    </row>
    <row r="3" spans="1:8" x14ac:dyDescent="0.2">
      <c r="A3" s="1">
        <v>203662</v>
      </c>
      <c r="B3" s="14">
        <v>44484</v>
      </c>
      <c r="C3" s="1" t="s">
        <v>68</v>
      </c>
      <c r="D3" s="1" t="s">
        <v>131</v>
      </c>
      <c r="E3" s="1" t="s">
        <v>131</v>
      </c>
      <c r="F3" s="1" t="s">
        <v>81</v>
      </c>
      <c r="G3" s="1" t="s">
        <v>158</v>
      </c>
      <c r="H3" s="1" t="s">
        <v>159</v>
      </c>
    </row>
    <row r="4" spans="1:8" ht="64" x14ac:dyDescent="0.2">
      <c r="A4" s="1">
        <v>203662</v>
      </c>
      <c r="B4" s="14">
        <v>44484</v>
      </c>
      <c r="C4" s="1" t="s">
        <v>68</v>
      </c>
      <c r="D4" s="1" t="s">
        <v>131</v>
      </c>
      <c r="E4" s="1" t="s">
        <v>131</v>
      </c>
      <c r="F4" s="1" t="s">
        <v>69</v>
      </c>
      <c r="G4" s="1" t="s">
        <v>160</v>
      </c>
      <c r="H4" s="2" t="s">
        <v>161</v>
      </c>
    </row>
    <row r="5" spans="1:8" x14ac:dyDescent="0.2">
      <c r="A5" s="1">
        <v>203662</v>
      </c>
      <c r="B5" s="14">
        <v>44484</v>
      </c>
      <c r="C5" s="1" t="s">
        <v>68</v>
      </c>
      <c r="D5" s="1" t="s">
        <v>131</v>
      </c>
      <c r="E5" s="1" t="s">
        <v>131</v>
      </c>
      <c r="F5" s="1" t="s">
        <v>69</v>
      </c>
      <c r="G5" s="1" t="s">
        <v>162</v>
      </c>
      <c r="H5" s="1" t="s">
        <v>163</v>
      </c>
    </row>
    <row r="6" spans="1:8" x14ac:dyDescent="0.2">
      <c r="A6" s="1">
        <v>203770</v>
      </c>
      <c r="B6" s="14">
        <v>44484</v>
      </c>
      <c r="C6" s="1" t="s">
        <v>85</v>
      </c>
      <c r="D6" s="1" t="s">
        <v>131</v>
      </c>
      <c r="E6" s="1" t="s">
        <v>131</v>
      </c>
      <c r="F6" s="1" t="s">
        <v>74</v>
      </c>
      <c r="G6" s="1" t="s">
        <v>164</v>
      </c>
      <c r="H6" s="1" t="s">
        <v>75</v>
      </c>
    </row>
    <row r="7" spans="1:8" ht="64" x14ac:dyDescent="0.2">
      <c r="A7" s="1">
        <v>203770</v>
      </c>
      <c r="B7" s="14">
        <v>44484</v>
      </c>
      <c r="C7" s="1" t="s">
        <v>85</v>
      </c>
      <c r="D7" s="1" t="s">
        <v>131</v>
      </c>
      <c r="E7" s="1" t="s">
        <v>131</v>
      </c>
      <c r="F7" s="1" t="s">
        <v>80</v>
      </c>
      <c r="G7" s="2" t="s">
        <v>165</v>
      </c>
      <c r="H7" s="1" t="s">
        <v>75</v>
      </c>
    </row>
    <row r="8" spans="1:8" ht="64" x14ac:dyDescent="0.2">
      <c r="A8" s="1">
        <v>203770</v>
      </c>
      <c r="B8" s="14">
        <v>44484</v>
      </c>
      <c r="C8" s="1" t="s">
        <v>85</v>
      </c>
      <c r="D8" s="1" t="s">
        <v>131</v>
      </c>
      <c r="E8" s="1" t="s">
        <v>131</v>
      </c>
      <c r="F8" s="1" t="s">
        <v>77</v>
      </c>
      <c r="G8" s="2" t="s">
        <v>166</v>
      </c>
      <c r="H8" s="1" t="s">
        <v>75</v>
      </c>
    </row>
    <row r="9" spans="1:8" ht="64" x14ac:dyDescent="0.2">
      <c r="A9" s="1">
        <v>203770</v>
      </c>
      <c r="B9" s="14">
        <v>44484</v>
      </c>
      <c r="C9" s="1" t="s">
        <v>85</v>
      </c>
      <c r="D9" s="1" t="s">
        <v>131</v>
      </c>
      <c r="E9" s="1" t="s">
        <v>131</v>
      </c>
      <c r="F9" s="1" t="s">
        <v>86</v>
      </c>
      <c r="G9" s="2" t="s">
        <v>167</v>
      </c>
      <c r="H9" s="1" t="s">
        <v>75</v>
      </c>
    </row>
    <row r="10" spans="1:8" ht="64" x14ac:dyDescent="0.2">
      <c r="A10" s="1">
        <v>203770</v>
      </c>
      <c r="B10" s="14">
        <v>44484</v>
      </c>
      <c r="C10" s="1" t="s">
        <v>85</v>
      </c>
      <c r="D10" s="1" t="s">
        <v>131</v>
      </c>
      <c r="E10" s="1" t="s">
        <v>131</v>
      </c>
      <c r="F10" s="1" t="s">
        <v>90</v>
      </c>
      <c r="G10" s="2" t="s">
        <v>168</v>
      </c>
      <c r="H10" s="1" t="s">
        <v>75</v>
      </c>
    </row>
    <row r="11" spans="1:8" x14ac:dyDescent="0.2">
      <c r="A11" s="1">
        <v>203830</v>
      </c>
      <c r="B11" s="14">
        <v>44484</v>
      </c>
      <c r="C11" s="1" t="s">
        <v>108</v>
      </c>
      <c r="D11" s="1" t="s">
        <v>131</v>
      </c>
      <c r="E11" s="1" t="s">
        <v>131</v>
      </c>
      <c r="F11" s="1" t="s">
        <v>99</v>
      </c>
      <c r="G11" s="1" t="s">
        <v>169</v>
      </c>
      <c r="H11" s="1" t="s">
        <v>170</v>
      </c>
    </row>
    <row r="12" spans="1:8" ht="16" x14ac:dyDescent="0.2">
      <c r="A12" s="1">
        <v>203830</v>
      </c>
      <c r="B12" s="14">
        <v>44484</v>
      </c>
      <c r="C12" s="1" t="s">
        <v>108</v>
      </c>
      <c r="D12" s="1" t="s">
        <v>131</v>
      </c>
      <c r="E12" s="1" t="s">
        <v>131</v>
      </c>
      <c r="F12" s="1" t="s">
        <v>86</v>
      </c>
      <c r="G12" s="1" t="s">
        <v>171</v>
      </c>
      <c r="H12" s="2" t="s">
        <v>172</v>
      </c>
    </row>
    <row r="13" spans="1:8" ht="16" x14ac:dyDescent="0.2">
      <c r="A13" s="1">
        <v>203830</v>
      </c>
      <c r="B13" s="14">
        <v>44484</v>
      </c>
      <c r="C13" s="1" t="s">
        <v>108</v>
      </c>
      <c r="D13" s="1" t="s">
        <v>131</v>
      </c>
      <c r="E13" s="1" t="s">
        <v>131</v>
      </c>
      <c r="F13" s="1" t="s">
        <v>91</v>
      </c>
      <c r="G13" s="1" t="s">
        <v>173</v>
      </c>
      <c r="H13" s="2" t="s">
        <v>174</v>
      </c>
    </row>
    <row r="14" spans="1:8" ht="16" x14ac:dyDescent="0.2">
      <c r="A14" s="1">
        <v>203830</v>
      </c>
      <c r="B14" s="14">
        <v>44484</v>
      </c>
      <c r="C14" s="1" t="s">
        <v>108</v>
      </c>
      <c r="D14" s="1" t="s">
        <v>131</v>
      </c>
      <c r="E14" s="1" t="s">
        <v>131</v>
      </c>
      <c r="F14" s="1" t="s">
        <v>71</v>
      </c>
      <c r="G14" s="1" t="s">
        <v>175</v>
      </c>
      <c r="H14" s="2" t="s">
        <v>176</v>
      </c>
    </row>
    <row r="15" spans="1:8" ht="409.6" x14ac:dyDescent="0.2">
      <c r="A15" s="1">
        <v>203831</v>
      </c>
      <c r="B15" s="14">
        <v>44484</v>
      </c>
      <c r="C15" s="1" t="s">
        <v>111</v>
      </c>
      <c r="D15" s="1" t="s">
        <v>131</v>
      </c>
      <c r="E15" s="1" t="s">
        <v>131</v>
      </c>
      <c r="F15" s="1" t="s">
        <v>69</v>
      </c>
      <c r="G15" s="2" t="s">
        <v>177</v>
      </c>
      <c r="H15" s="2" t="s">
        <v>112</v>
      </c>
    </row>
    <row r="16" spans="1:8" ht="16" x14ac:dyDescent="0.2">
      <c r="A16" s="1">
        <v>203863</v>
      </c>
      <c r="B16" s="14">
        <v>44484</v>
      </c>
      <c r="C16" s="1" t="s">
        <v>100</v>
      </c>
      <c r="D16" s="1" t="s">
        <v>131</v>
      </c>
      <c r="E16" s="1" t="s">
        <v>131</v>
      </c>
      <c r="F16" s="1" t="s">
        <v>72</v>
      </c>
      <c r="G16" s="1" t="s">
        <v>178</v>
      </c>
      <c r="H16" s="2" t="s">
        <v>179</v>
      </c>
    </row>
    <row r="17" spans="1:8" ht="16" x14ac:dyDescent="0.2">
      <c r="A17" s="1">
        <v>203863</v>
      </c>
      <c r="B17" s="14">
        <v>44484</v>
      </c>
      <c r="C17" s="1" t="s">
        <v>100</v>
      </c>
      <c r="D17" s="1" t="s">
        <v>131</v>
      </c>
      <c r="E17" s="1" t="s">
        <v>131</v>
      </c>
      <c r="F17" s="1" t="s">
        <v>70</v>
      </c>
      <c r="G17" s="1" t="s">
        <v>180</v>
      </c>
      <c r="H17" s="2" t="s">
        <v>135</v>
      </c>
    </row>
    <row r="18" spans="1:8" ht="48" x14ac:dyDescent="0.2">
      <c r="A18" s="1">
        <v>203863</v>
      </c>
      <c r="B18" s="14">
        <v>44484</v>
      </c>
      <c r="C18" s="1" t="s">
        <v>100</v>
      </c>
      <c r="D18" s="1" t="s">
        <v>131</v>
      </c>
      <c r="E18" s="1" t="s">
        <v>131</v>
      </c>
      <c r="F18" s="1" t="s">
        <v>74</v>
      </c>
      <c r="G18" s="2" t="s">
        <v>181</v>
      </c>
      <c r="H18" s="2" t="s">
        <v>182</v>
      </c>
    </row>
    <row r="19" spans="1:8" ht="48" x14ac:dyDescent="0.2">
      <c r="A19" s="1">
        <v>203863</v>
      </c>
      <c r="B19" s="14">
        <v>44484</v>
      </c>
      <c r="C19" s="1" t="s">
        <v>100</v>
      </c>
      <c r="D19" s="1" t="s">
        <v>131</v>
      </c>
      <c r="E19" s="1" t="s">
        <v>131</v>
      </c>
      <c r="F19" s="1" t="s">
        <v>74</v>
      </c>
      <c r="G19" s="2" t="s">
        <v>183</v>
      </c>
      <c r="H19" s="1" t="s">
        <v>182</v>
      </c>
    </row>
    <row r="20" spans="1:8" ht="96" x14ac:dyDescent="0.2">
      <c r="A20" s="1">
        <v>203863</v>
      </c>
      <c r="B20" s="14">
        <v>44484</v>
      </c>
      <c r="C20" s="1" t="s">
        <v>100</v>
      </c>
      <c r="D20" s="1" t="s">
        <v>131</v>
      </c>
      <c r="E20" s="1" t="s">
        <v>131</v>
      </c>
      <c r="F20" s="1" t="s">
        <v>69</v>
      </c>
      <c r="G20" s="2" t="s">
        <v>184</v>
      </c>
      <c r="H20" s="1" t="s">
        <v>185</v>
      </c>
    </row>
    <row r="21" spans="1:8" ht="160" x14ac:dyDescent="0.2">
      <c r="A21" s="1">
        <v>203880</v>
      </c>
      <c r="B21" s="14">
        <v>44484</v>
      </c>
      <c r="C21" s="1" t="s">
        <v>78</v>
      </c>
      <c r="D21" s="1" t="s">
        <v>131</v>
      </c>
      <c r="E21" s="1" t="s">
        <v>131</v>
      </c>
      <c r="F21" s="1" t="s">
        <v>79</v>
      </c>
      <c r="G21" s="2" t="s">
        <v>186</v>
      </c>
      <c r="H21" s="1" t="s">
        <v>83</v>
      </c>
    </row>
    <row r="22" spans="1:8" x14ac:dyDescent="0.2">
      <c r="A22" s="1">
        <v>203880</v>
      </c>
      <c r="B22" s="14">
        <v>44484</v>
      </c>
      <c r="C22" s="1" t="s">
        <v>78</v>
      </c>
      <c r="D22" s="1" t="s">
        <v>131</v>
      </c>
      <c r="E22" s="1" t="s">
        <v>131</v>
      </c>
      <c r="F22" s="1" t="s">
        <v>89</v>
      </c>
      <c r="G22" s="1" t="s">
        <v>187</v>
      </c>
      <c r="H22" s="1" t="s">
        <v>83</v>
      </c>
    </row>
    <row r="23" spans="1:8" x14ac:dyDescent="0.2">
      <c r="A23" s="1">
        <v>203880</v>
      </c>
      <c r="B23" s="14">
        <v>44484</v>
      </c>
      <c r="C23" s="1" t="s">
        <v>78</v>
      </c>
      <c r="D23" s="1" t="s">
        <v>131</v>
      </c>
      <c r="E23" s="1" t="s">
        <v>131</v>
      </c>
      <c r="F23" s="1" t="s">
        <v>70</v>
      </c>
      <c r="G23" s="1" t="s">
        <v>188</v>
      </c>
      <c r="H23" s="1" t="s">
        <v>83</v>
      </c>
    </row>
    <row r="24" spans="1:8" x14ac:dyDescent="0.2">
      <c r="A24" s="1">
        <v>203880</v>
      </c>
      <c r="B24" s="14">
        <v>44484</v>
      </c>
      <c r="C24" s="1" t="s">
        <v>78</v>
      </c>
      <c r="D24" s="1" t="s">
        <v>131</v>
      </c>
      <c r="E24" s="1" t="s">
        <v>131</v>
      </c>
      <c r="F24" s="1" t="s">
        <v>84</v>
      </c>
      <c r="G24" s="1" t="s">
        <v>189</v>
      </c>
      <c r="H24" s="1" t="s">
        <v>83</v>
      </c>
    </row>
    <row r="25" spans="1:8" ht="409.6" x14ac:dyDescent="0.2">
      <c r="A25" s="1">
        <v>203905</v>
      </c>
      <c r="B25" s="14">
        <v>44484</v>
      </c>
      <c r="C25" s="1" t="s">
        <v>95</v>
      </c>
      <c r="D25" s="1" t="s">
        <v>131</v>
      </c>
      <c r="E25" s="1" t="s">
        <v>131</v>
      </c>
      <c r="F25" s="1" t="s">
        <v>74</v>
      </c>
      <c r="G25" s="2" t="s">
        <v>190</v>
      </c>
      <c r="H25" s="2" t="s">
        <v>191</v>
      </c>
    </row>
    <row r="26" spans="1:8" ht="365" x14ac:dyDescent="0.2">
      <c r="A26" s="1">
        <v>203905</v>
      </c>
      <c r="B26" s="14">
        <v>44484</v>
      </c>
      <c r="C26" s="1" t="s">
        <v>95</v>
      </c>
      <c r="D26" s="1" t="s">
        <v>131</v>
      </c>
      <c r="E26" s="1" t="s">
        <v>131</v>
      </c>
      <c r="F26" s="1" t="s">
        <v>96</v>
      </c>
      <c r="G26" s="2" t="s">
        <v>192</v>
      </c>
      <c r="H26" s="2" t="s">
        <v>193</v>
      </c>
    </row>
    <row r="27" spans="1:8" ht="395" x14ac:dyDescent="0.2">
      <c r="A27" s="1">
        <v>203905</v>
      </c>
      <c r="B27" s="14">
        <v>44484</v>
      </c>
      <c r="C27" s="1" t="s">
        <v>95</v>
      </c>
      <c r="D27" s="1" t="s">
        <v>131</v>
      </c>
      <c r="E27" s="1" t="s">
        <v>131</v>
      </c>
      <c r="F27" s="1" t="s">
        <v>88</v>
      </c>
      <c r="G27" s="2" t="s">
        <v>194</v>
      </c>
      <c r="H27" s="2" t="s">
        <v>195</v>
      </c>
    </row>
    <row r="28" spans="1:8" ht="409.6" x14ac:dyDescent="0.2">
      <c r="A28" s="1">
        <v>203905</v>
      </c>
      <c r="B28" s="14">
        <v>44484</v>
      </c>
      <c r="C28" s="1" t="s">
        <v>95</v>
      </c>
      <c r="D28" s="1" t="s">
        <v>131</v>
      </c>
      <c r="E28" s="1" t="s">
        <v>131</v>
      </c>
      <c r="F28" s="1" t="s">
        <v>80</v>
      </c>
      <c r="G28" s="2" t="s">
        <v>196</v>
      </c>
      <c r="H28" s="2" t="s">
        <v>197</v>
      </c>
    </row>
    <row r="29" spans="1:8" x14ac:dyDescent="0.2">
      <c r="A29" s="1">
        <v>203905</v>
      </c>
      <c r="B29" s="14">
        <v>44484</v>
      </c>
      <c r="C29" s="1" t="s">
        <v>95</v>
      </c>
      <c r="D29" s="1" t="s">
        <v>131</v>
      </c>
      <c r="E29" s="1" t="s">
        <v>131</v>
      </c>
      <c r="F29" s="1" t="s">
        <v>84</v>
      </c>
      <c r="G29" s="1" t="s">
        <v>198</v>
      </c>
    </row>
    <row r="30" spans="1:8" ht="409.6" x14ac:dyDescent="0.2">
      <c r="A30" s="1">
        <v>203905</v>
      </c>
      <c r="B30" s="14">
        <v>44484</v>
      </c>
      <c r="C30" s="1" t="s">
        <v>95</v>
      </c>
      <c r="D30" s="1" t="s">
        <v>131</v>
      </c>
      <c r="E30" s="1" t="s">
        <v>131</v>
      </c>
      <c r="F30" s="1" t="s">
        <v>70</v>
      </c>
      <c r="G30" s="2" t="s">
        <v>199</v>
      </c>
      <c r="H30" s="2" t="s">
        <v>200</v>
      </c>
    </row>
    <row r="31" spans="1:8" ht="409.6" x14ac:dyDescent="0.2">
      <c r="A31" s="1">
        <v>203905</v>
      </c>
      <c r="B31" s="14">
        <v>44484</v>
      </c>
      <c r="C31" s="1" t="s">
        <v>95</v>
      </c>
      <c r="D31" s="1" t="s">
        <v>131</v>
      </c>
      <c r="E31" s="1" t="s">
        <v>131</v>
      </c>
      <c r="F31" s="1" t="s">
        <v>77</v>
      </c>
      <c r="G31" s="2" t="s">
        <v>201</v>
      </c>
      <c r="H31" s="2" t="s">
        <v>202</v>
      </c>
    </row>
    <row r="32" spans="1:8" ht="208" x14ac:dyDescent="0.2">
      <c r="A32" s="1">
        <v>203905</v>
      </c>
      <c r="B32" s="14">
        <v>44484</v>
      </c>
      <c r="C32" s="1" t="s">
        <v>95</v>
      </c>
      <c r="D32" s="1" t="s">
        <v>131</v>
      </c>
      <c r="E32" s="1" t="s">
        <v>131</v>
      </c>
      <c r="F32" s="1" t="s">
        <v>82</v>
      </c>
      <c r="G32" s="2" t="s">
        <v>203</v>
      </c>
      <c r="H32" s="1" t="s">
        <v>204</v>
      </c>
    </row>
    <row r="33" spans="1:8" ht="409.6" x14ac:dyDescent="0.2">
      <c r="A33" s="1">
        <v>203905</v>
      </c>
      <c r="B33" s="14">
        <v>44484</v>
      </c>
      <c r="C33" s="1" t="s">
        <v>95</v>
      </c>
      <c r="D33" s="1" t="s">
        <v>131</v>
      </c>
      <c r="E33" s="1" t="s">
        <v>131</v>
      </c>
      <c r="F33" s="1" t="s">
        <v>128</v>
      </c>
      <c r="G33" s="2" t="s">
        <v>205</v>
      </c>
      <c r="H33" s="2" t="s">
        <v>206</v>
      </c>
    </row>
    <row r="34" spans="1:8" ht="409.6" x14ac:dyDescent="0.2">
      <c r="A34" s="1">
        <v>203905</v>
      </c>
      <c r="B34" s="14">
        <v>44484</v>
      </c>
      <c r="C34" s="1" t="s">
        <v>95</v>
      </c>
      <c r="D34" s="1" t="s">
        <v>131</v>
      </c>
      <c r="E34" s="1" t="s">
        <v>131</v>
      </c>
      <c r="F34" s="1" t="s">
        <v>69</v>
      </c>
      <c r="G34" s="2" t="s">
        <v>207</v>
      </c>
      <c r="H34" s="2" t="s">
        <v>208</v>
      </c>
    </row>
    <row r="35" spans="1:8" ht="409.6" x14ac:dyDescent="0.2">
      <c r="A35" s="1">
        <v>203905</v>
      </c>
      <c r="B35" s="14">
        <v>44484</v>
      </c>
      <c r="C35" s="1" t="s">
        <v>95</v>
      </c>
      <c r="D35" s="1" t="s">
        <v>131</v>
      </c>
      <c r="E35" s="1" t="s">
        <v>131</v>
      </c>
      <c r="F35" s="1" t="s">
        <v>81</v>
      </c>
      <c r="G35" s="2" t="s">
        <v>209</v>
      </c>
      <c r="H35" s="2" t="s">
        <v>210</v>
      </c>
    </row>
    <row r="36" spans="1:8" ht="409.6" x14ac:dyDescent="0.2">
      <c r="A36" s="1">
        <v>203905</v>
      </c>
      <c r="B36" s="14">
        <v>44484</v>
      </c>
      <c r="C36" s="1" t="s">
        <v>95</v>
      </c>
      <c r="D36" s="1" t="s">
        <v>131</v>
      </c>
      <c r="E36" s="1" t="s">
        <v>131</v>
      </c>
      <c r="F36" s="1" t="s">
        <v>97</v>
      </c>
      <c r="G36" s="2" t="s">
        <v>211</v>
      </c>
      <c r="H36" s="1" t="s">
        <v>212</v>
      </c>
    </row>
    <row r="37" spans="1:8" ht="304" x14ac:dyDescent="0.2">
      <c r="A37" s="1">
        <v>203905</v>
      </c>
      <c r="B37" s="14">
        <v>44484</v>
      </c>
      <c r="C37" s="1" t="s">
        <v>95</v>
      </c>
      <c r="D37" s="1" t="s">
        <v>131</v>
      </c>
      <c r="E37" s="1" t="s">
        <v>131</v>
      </c>
      <c r="F37" s="1" t="s">
        <v>72</v>
      </c>
      <c r="G37" s="2" t="s">
        <v>213</v>
      </c>
      <c r="H37" s="2" t="s">
        <v>214</v>
      </c>
    </row>
    <row r="38" spans="1:8" ht="80" x14ac:dyDescent="0.2">
      <c r="A38" s="1">
        <v>203905</v>
      </c>
      <c r="B38" s="14">
        <v>44484</v>
      </c>
      <c r="C38" s="1" t="s">
        <v>95</v>
      </c>
      <c r="D38" s="1" t="s">
        <v>131</v>
      </c>
      <c r="E38" s="1" t="s">
        <v>131</v>
      </c>
      <c r="F38" s="1" t="s">
        <v>98</v>
      </c>
      <c r="G38" s="2" t="s">
        <v>215</v>
      </c>
    </row>
    <row r="39" spans="1:8" ht="409.6" x14ac:dyDescent="0.2">
      <c r="A39" s="1">
        <v>203905</v>
      </c>
      <c r="B39" s="14">
        <v>44484</v>
      </c>
      <c r="C39" s="1" t="s">
        <v>95</v>
      </c>
      <c r="D39" s="1" t="s">
        <v>131</v>
      </c>
      <c r="E39" s="1" t="s">
        <v>131</v>
      </c>
      <c r="F39" s="1" t="s">
        <v>89</v>
      </c>
      <c r="G39" s="2" t="s">
        <v>216</v>
      </c>
      <c r="H39" s="2" t="s">
        <v>217</v>
      </c>
    </row>
    <row r="40" spans="1:8" ht="176" x14ac:dyDescent="0.2">
      <c r="A40" s="1">
        <v>203905</v>
      </c>
      <c r="B40" s="14">
        <v>44484</v>
      </c>
      <c r="C40" s="1" t="s">
        <v>95</v>
      </c>
      <c r="D40" s="1" t="s">
        <v>131</v>
      </c>
      <c r="E40" s="1" t="s">
        <v>131</v>
      </c>
      <c r="F40" s="1" t="s">
        <v>91</v>
      </c>
      <c r="G40" s="2" t="s">
        <v>218</v>
      </c>
      <c r="H40" s="1" t="s">
        <v>219</v>
      </c>
    </row>
    <row r="41" spans="1:8" ht="409.6" x14ac:dyDescent="0.2">
      <c r="A41" s="1">
        <v>203905</v>
      </c>
      <c r="B41" s="14">
        <v>44484</v>
      </c>
      <c r="C41" s="1" t="s">
        <v>95</v>
      </c>
      <c r="D41" s="1" t="s">
        <v>131</v>
      </c>
      <c r="E41" s="1" t="s">
        <v>131</v>
      </c>
      <c r="F41" s="1" t="s">
        <v>86</v>
      </c>
      <c r="G41" s="2" t="s">
        <v>220</v>
      </c>
      <c r="H41" s="2" t="s">
        <v>221</v>
      </c>
    </row>
    <row r="42" spans="1:8" ht="96" x14ac:dyDescent="0.2">
      <c r="A42" s="1">
        <v>203905</v>
      </c>
      <c r="B42" s="14">
        <v>44484</v>
      </c>
      <c r="C42" s="1" t="s">
        <v>95</v>
      </c>
      <c r="D42" s="1" t="s">
        <v>131</v>
      </c>
      <c r="E42" s="1" t="s">
        <v>131</v>
      </c>
      <c r="F42" s="1" t="s">
        <v>90</v>
      </c>
      <c r="G42" s="2" t="s">
        <v>222</v>
      </c>
    </row>
    <row r="43" spans="1:8" ht="335" x14ac:dyDescent="0.2">
      <c r="A43" s="1">
        <v>203905</v>
      </c>
      <c r="B43" s="14">
        <v>44484</v>
      </c>
      <c r="C43" s="1" t="s">
        <v>95</v>
      </c>
      <c r="D43" s="1" t="s">
        <v>131</v>
      </c>
      <c r="E43" s="1" t="s">
        <v>131</v>
      </c>
      <c r="F43" s="1" t="s">
        <v>99</v>
      </c>
      <c r="G43" s="2" t="s">
        <v>223</v>
      </c>
      <c r="H43" s="1" t="s">
        <v>224</v>
      </c>
    </row>
    <row r="44" spans="1:8" ht="112" x14ac:dyDescent="0.2">
      <c r="A44" s="1">
        <v>203905</v>
      </c>
      <c r="B44" s="14">
        <v>44484</v>
      </c>
      <c r="C44" s="1" t="s">
        <v>95</v>
      </c>
      <c r="D44" s="1" t="s">
        <v>131</v>
      </c>
      <c r="E44" s="1" t="s">
        <v>131</v>
      </c>
      <c r="F44" s="1" t="s">
        <v>71</v>
      </c>
      <c r="G44" s="2" t="s">
        <v>225</v>
      </c>
      <c r="H44" s="2" t="s">
        <v>226</v>
      </c>
    </row>
    <row r="45" spans="1:8" ht="16" x14ac:dyDescent="0.2">
      <c r="A45" s="1">
        <v>203928</v>
      </c>
      <c r="B45" s="14">
        <v>44484</v>
      </c>
      <c r="C45" s="1" t="s">
        <v>102</v>
      </c>
      <c r="D45" s="1" t="s">
        <v>131</v>
      </c>
      <c r="E45" s="1" t="s">
        <v>131</v>
      </c>
      <c r="F45" s="1" t="s">
        <v>74</v>
      </c>
      <c r="G45" s="2" t="s">
        <v>75</v>
      </c>
      <c r="H45" s="1" t="s">
        <v>75</v>
      </c>
    </row>
    <row r="46" spans="1:8" ht="112" x14ac:dyDescent="0.2">
      <c r="A46" s="1">
        <v>203937</v>
      </c>
      <c r="B46" s="14">
        <v>44484</v>
      </c>
      <c r="C46" s="1" t="s">
        <v>114</v>
      </c>
      <c r="D46" s="1" t="s">
        <v>131</v>
      </c>
      <c r="E46" s="1" t="s">
        <v>131</v>
      </c>
      <c r="F46" s="1" t="s">
        <v>69</v>
      </c>
      <c r="G46" s="2" t="s">
        <v>227</v>
      </c>
      <c r="H46" s="1" t="s">
        <v>228</v>
      </c>
    </row>
    <row r="47" spans="1:8" ht="128" x14ac:dyDescent="0.2">
      <c r="A47" s="1">
        <v>203937</v>
      </c>
      <c r="B47" s="14">
        <v>44484</v>
      </c>
      <c r="C47" s="1" t="s">
        <v>114</v>
      </c>
      <c r="D47" s="1" t="s">
        <v>131</v>
      </c>
      <c r="E47" s="1" t="s">
        <v>131</v>
      </c>
      <c r="F47" s="1" t="s">
        <v>88</v>
      </c>
      <c r="G47" s="2" t="s">
        <v>229</v>
      </c>
      <c r="H47" s="1" t="s">
        <v>230</v>
      </c>
    </row>
    <row r="48" spans="1:8" ht="112" x14ac:dyDescent="0.2">
      <c r="A48" s="1">
        <v>203937</v>
      </c>
      <c r="B48" s="14">
        <v>44484</v>
      </c>
      <c r="C48" s="1" t="s">
        <v>114</v>
      </c>
      <c r="D48" s="1" t="s">
        <v>131</v>
      </c>
      <c r="E48" s="1" t="s">
        <v>131</v>
      </c>
      <c r="F48" s="1" t="s">
        <v>128</v>
      </c>
      <c r="G48" s="2" t="s">
        <v>231</v>
      </c>
      <c r="H48" s="1" t="s">
        <v>115</v>
      </c>
    </row>
    <row r="49" spans="1:8" ht="144" x14ac:dyDescent="0.2">
      <c r="A49" s="1">
        <v>203937</v>
      </c>
      <c r="B49" s="14">
        <v>44484</v>
      </c>
      <c r="C49" s="1" t="s">
        <v>114</v>
      </c>
      <c r="D49" s="1" t="s">
        <v>131</v>
      </c>
      <c r="E49" s="1" t="s">
        <v>131</v>
      </c>
      <c r="F49" s="1" t="s">
        <v>81</v>
      </c>
      <c r="G49" s="2" t="s">
        <v>232</v>
      </c>
      <c r="H49" s="1" t="s">
        <v>115</v>
      </c>
    </row>
    <row r="50" spans="1:8" ht="96" x14ac:dyDescent="0.2">
      <c r="A50" s="1">
        <v>203937</v>
      </c>
      <c r="B50" s="14">
        <v>44484</v>
      </c>
      <c r="C50" s="1" t="s">
        <v>114</v>
      </c>
      <c r="D50" s="1" t="s">
        <v>131</v>
      </c>
      <c r="E50" s="1" t="s">
        <v>131</v>
      </c>
      <c r="F50" s="1" t="s">
        <v>90</v>
      </c>
      <c r="G50" s="2" t="s">
        <v>233</v>
      </c>
      <c r="H50" s="1" t="s">
        <v>115</v>
      </c>
    </row>
    <row r="51" spans="1:8" ht="80" x14ac:dyDescent="0.2">
      <c r="A51" s="1">
        <v>203937</v>
      </c>
      <c r="B51" s="14">
        <v>44484</v>
      </c>
      <c r="C51" s="1" t="s">
        <v>114</v>
      </c>
      <c r="D51" s="1" t="s">
        <v>131</v>
      </c>
      <c r="E51" s="1" t="s">
        <v>131</v>
      </c>
      <c r="F51" s="1" t="s">
        <v>80</v>
      </c>
      <c r="G51" s="2" t="s">
        <v>234</v>
      </c>
      <c r="H51" s="1" t="s">
        <v>115</v>
      </c>
    </row>
    <row r="52" spans="1:8" ht="409.6" x14ac:dyDescent="0.2">
      <c r="A52" s="1">
        <v>203939</v>
      </c>
      <c r="B52" s="14">
        <v>44484</v>
      </c>
      <c r="C52" s="1" t="s">
        <v>101</v>
      </c>
      <c r="D52" s="1" t="s">
        <v>131</v>
      </c>
      <c r="E52" s="1" t="s">
        <v>131</v>
      </c>
      <c r="F52" s="1" t="s">
        <v>69</v>
      </c>
      <c r="G52" s="2" t="s">
        <v>235</v>
      </c>
      <c r="H52" s="2" t="s">
        <v>236</v>
      </c>
    </row>
    <row r="53" spans="1:8" ht="176" x14ac:dyDescent="0.2">
      <c r="A53" s="1">
        <v>203945</v>
      </c>
      <c r="B53" s="14">
        <v>44484</v>
      </c>
      <c r="C53" s="1" t="s">
        <v>113</v>
      </c>
      <c r="D53" s="1" t="s">
        <v>131</v>
      </c>
      <c r="E53" s="1" t="s">
        <v>131</v>
      </c>
      <c r="F53" s="1" t="s">
        <v>74</v>
      </c>
      <c r="G53" s="2" t="s">
        <v>237</v>
      </c>
      <c r="H53" s="1" t="s">
        <v>112</v>
      </c>
    </row>
    <row r="54" spans="1:8" ht="144" x14ac:dyDescent="0.2">
      <c r="A54" s="1">
        <v>203945</v>
      </c>
      <c r="B54" s="14">
        <v>44484</v>
      </c>
      <c r="C54" s="1" t="s">
        <v>113</v>
      </c>
      <c r="D54" s="1" t="s">
        <v>131</v>
      </c>
      <c r="E54" s="1" t="s">
        <v>131</v>
      </c>
      <c r="F54" s="1" t="s">
        <v>96</v>
      </c>
      <c r="G54" s="2" t="s">
        <v>238</v>
      </c>
      <c r="H54" s="1" t="s">
        <v>112</v>
      </c>
    </row>
    <row r="55" spans="1:8" ht="160" x14ac:dyDescent="0.2">
      <c r="A55" s="1">
        <v>203945</v>
      </c>
      <c r="B55" s="14">
        <v>44484</v>
      </c>
      <c r="C55" s="1" t="s">
        <v>113</v>
      </c>
      <c r="D55" s="1" t="s">
        <v>131</v>
      </c>
      <c r="E55" s="1" t="s">
        <v>131</v>
      </c>
      <c r="F55" s="1" t="s">
        <v>88</v>
      </c>
      <c r="G55" s="2" t="s">
        <v>239</v>
      </c>
      <c r="H55" s="1" t="s">
        <v>112</v>
      </c>
    </row>
    <row r="56" spans="1:8" ht="160" x14ac:dyDescent="0.2">
      <c r="A56" s="1">
        <v>203945</v>
      </c>
      <c r="B56" s="14">
        <v>44484</v>
      </c>
      <c r="C56" s="1" t="s">
        <v>113</v>
      </c>
      <c r="D56" s="1" t="s">
        <v>131</v>
      </c>
      <c r="E56" s="1" t="s">
        <v>131</v>
      </c>
      <c r="F56" s="1" t="s">
        <v>80</v>
      </c>
      <c r="G56" s="2" t="s">
        <v>240</v>
      </c>
      <c r="H56" s="1" t="s">
        <v>112</v>
      </c>
    </row>
    <row r="57" spans="1:8" ht="112" x14ac:dyDescent="0.2">
      <c r="A57" s="1">
        <v>203945</v>
      </c>
      <c r="B57" s="14">
        <v>44484</v>
      </c>
      <c r="C57" s="1" t="s">
        <v>113</v>
      </c>
      <c r="D57" s="1" t="s">
        <v>131</v>
      </c>
      <c r="E57" s="1" t="s">
        <v>131</v>
      </c>
      <c r="F57" s="1" t="s">
        <v>84</v>
      </c>
      <c r="G57" s="2" t="s">
        <v>241</v>
      </c>
      <c r="H57" s="1" t="s">
        <v>112</v>
      </c>
    </row>
    <row r="58" spans="1:8" ht="144" x14ac:dyDescent="0.2">
      <c r="A58" s="1">
        <v>203945</v>
      </c>
      <c r="B58" s="14">
        <v>44484</v>
      </c>
      <c r="C58" s="1" t="s">
        <v>113</v>
      </c>
      <c r="D58" s="1" t="s">
        <v>131</v>
      </c>
      <c r="E58" s="1" t="s">
        <v>131</v>
      </c>
      <c r="F58" s="1" t="s">
        <v>70</v>
      </c>
      <c r="G58" s="2" t="s">
        <v>242</v>
      </c>
      <c r="H58" s="1" t="s">
        <v>112</v>
      </c>
    </row>
    <row r="59" spans="1:8" ht="144" x14ac:dyDescent="0.2">
      <c r="A59" s="1">
        <v>203945</v>
      </c>
      <c r="B59" s="14">
        <v>44484</v>
      </c>
      <c r="C59" s="1" t="s">
        <v>113</v>
      </c>
      <c r="D59" s="1" t="s">
        <v>131</v>
      </c>
      <c r="E59" s="1" t="s">
        <v>131</v>
      </c>
      <c r="F59" s="1" t="s">
        <v>77</v>
      </c>
      <c r="G59" s="2" t="s">
        <v>243</v>
      </c>
      <c r="H59" s="1" t="s">
        <v>112</v>
      </c>
    </row>
    <row r="60" spans="1:8" ht="160" x14ac:dyDescent="0.2">
      <c r="A60" s="1">
        <v>203945</v>
      </c>
      <c r="B60" s="14">
        <v>44484</v>
      </c>
      <c r="C60" s="1" t="s">
        <v>113</v>
      </c>
      <c r="D60" s="1" t="s">
        <v>131</v>
      </c>
      <c r="E60" s="1" t="s">
        <v>131</v>
      </c>
      <c r="F60" s="1" t="s">
        <v>82</v>
      </c>
      <c r="G60" s="2" t="s">
        <v>244</v>
      </c>
      <c r="H60" s="1" t="s">
        <v>112</v>
      </c>
    </row>
    <row r="61" spans="1:8" ht="144" x14ac:dyDescent="0.2">
      <c r="A61" s="1">
        <v>203945</v>
      </c>
      <c r="B61" s="14">
        <v>44484</v>
      </c>
      <c r="C61" s="1" t="s">
        <v>113</v>
      </c>
      <c r="D61" s="1" t="s">
        <v>131</v>
      </c>
      <c r="E61" s="1" t="s">
        <v>131</v>
      </c>
      <c r="F61" s="1" t="s">
        <v>128</v>
      </c>
      <c r="G61" s="2" t="s">
        <v>245</v>
      </c>
      <c r="H61" s="1" t="s">
        <v>112</v>
      </c>
    </row>
    <row r="62" spans="1:8" ht="96" x14ac:dyDescent="0.2">
      <c r="A62" s="1">
        <v>203945</v>
      </c>
      <c r="B62" s="14">
        <v>44484</v>
      </c>
      <c r="C62" s="1" t="s">
        <v>113</v>
      </c>
      <c r="D62" s="1" t="s">
        <v>131</v>
      </c>
      <c r="E62" s="1" t="s">
        <v>131</v>
      </c>
      <c r="F62" s="1" t="s">
        <v>69</v>
      </c>
      <c r="G62" s="2" t="s">
        <v>246</v>
      </c>
      <c r="H62" s="1" t="s">
        <v>112</v>
      </c>
    </row>
    <row r="63" spans="1:8" ht="80" x14ac:dyDescent="0.2">
      <c r="A63" s="1">
        <v>203945</v>
      </c>
      <c r="B63" s="14">
        <v>44484</v>
      </c>
      <c r="C63" s="1" t="s">
        <v>113</v>
      </c>
      <c r="D63" s="1" t="s">
        <v>131</v>
      </c>
      <c r="E63" s="1" t="s">
        <v>131</v>
      </c>
      <c r="F63" s="1" t="s">
        <v>81</v>
      </c>
      <c r="G63" s="2" t="s">
        <v>247</v>
      </c>
      <c r="H63" s="2" t="s">
        <v>112</v>
      </c>
    </row>
    <row r="64" spans="1:8" ht="112" x14ac:dyDescent="0.2">
      <c r="A64" s="1">
        <v>203945</v>
      </c>
      <c r="B64" s="14">
        <v>44484</v>
      </c>
      <c r="C64" s="1" t="s">
        <v>113</v>
      </c>
      <c r="D64" s="1" t="s">
        <v>131</v>
      </c>
      <c r="E64" s="1" t="s">
        <v>131</v>
      </c>
      <c r="F64" s="1" t="s">
        <v>97</v>
      </c>
      <c r="G64" s="2" t="s">
        <v>248</v>
      </c>
      <c r="H64" s="1" t="s">
        <v>112</v>
      </c>
    </row>
    <row r="65" spans="1:8" ht="128" x14ac:dyDescent="0.2">
      <c r="A65" s="1">
        <v>203945</v>
      </c>
      <c r="B65" s="14">
        <v>44484</v>
      </c>
      <c r="C65" s="1" t="s">
        <v>113</v>
      </c>
      <c r="D65" s="1" t="s">
        <v>131</v>
      </c>
      <c r="E65" s="1" t="s">
        <v>131</v>
      </c>
      <c r="F65" s="1" t="s">
        <v>79</v>
      </c>
      <c r="G65" s="2" t="s">
        <v>249</v>
      </c>
      <c r="H65" s="1" t="s">
        <v>112</v>
      </c>
    </row>
    <row r="66" spans="1:8" ht="96" x14ac:dyDescent="0.2">
      <c r="A66" s="1">
        <v>203945</v>
      </c>
      <c r="B66" s="14">
        <v>44484</v>
      </c>
      <c r="C66" s="1" t="s">
        <v>113</v>
      </c>
      <c r="D66" s="1" t="s">
        <v>131</v>
      </c>
      <c r="E66" s="1" t="s">
        <v>131</v>
      </c>
      <c r="F66" s="1" t="s">
        <v>72</v>
      </c>
      <c r="G66" s="2" t="s">
        <v>250</v>
      </c>
      <c r="H66" s="1" t="s">
        <v>112</v>
      </c>
    </row>
    <row r="67" spans="1:8" ht="96" x14ac:dyDescent="0.2">
      <c r="A67" s="1">
        <v>203945</v>
      </c>
      <c r="B67" s="14">
        <v>44484</v>
      </c>
      <c r="C67" s="1" t="s">
        <v>113</v>
      </c>
      <c r="D67" s="1" t="s">
        <v>131</v>
      </c>
      <c r="E67" s="1" t="s">
        <v>131</v>
      </c>
      <c r="F67" s="1" t="s">
        <v>98</v>
      </c>
      <c r="G67" s="2" t="s">
        <v>251</v>
      </c>
      <c r="H67" s="1" t="s">
        <v>112</v>
      </c>
    </row>
    <row r="68" spans="1:8" ht="144" x14ac:dyDescent="0.2">
      <c r="A68" s="1">
        <v>203945</v>
      </c>
      <c r="B68" s="14">
        <v>44484</v>
      </c>
      <c r="C68" s="1" t="s">
        <v>113</v>
      </c>
      <c r="D68" s="1" t="s">
        <v>131</v>
      </c>
      <c r="E68" s="1" t="s">
        <v>131</v>
      </c>
      <c r="F68" s="1" t="s">
        <v>89</v>
      </c>
      <c r="G68" s="2" t="s">
        <v>252</v>
      </c>
      <c r="H68" s="1" t="s">
        <v>112</v>
      </c>
    </row>
    <row r="69" spans="1:8" ht="96" x14ac:dyDescent="0.2">
      <c r="A69" s="1">
        <v>203945</v>
      </c>
      <c r="B69" s="14">
        <v>44484</v>
      </c>
      <c r="C69" s="1" t="s">
        <v>113</v>
      </c>
      <c r="D69" s="1" t="s">
        <v>131</v>
      </c>
      <c r="E69" s="1" t="s">
        <v>131</v>
      </c>
      <c r="F69" s="1" t="s">
        <v>91</v>
      </c>
      <c r="G69" s="2" t="s">
        <v>253</v>
      </c>
      <c r="H69" s="1" t="s">
        <v>112</v>
      </c>
    </row>
    <row r="70" spans="1:8" ht="128" x14ac:dyDescent="0.2">
      <c r="A70" s="1">
        <v>203945</v>
      </c>
      <c r="B70" s="14">
        <v>44484</v>
      </c>
      <c r="C70" s="1" t="s">
        <v>113</v>
      </c>
      <c r="D70" s="1" t="s">
        <v>131</v>
      </c>
      <c r="E70" s="1" t="s">
        <v>131</v>
      </c>
      <c r="F70" s="1" t="s">
        <v>86</v>
      </c>
      <c r="G70" s="2" t="s">
        <v>254</v>
      </c>
      <c r="H70" s="1" t="s">
        <v>112</v>
      </c>
    </row>
    <row r="71" spans="1:8" ht="64" x14ac:dyDescent="0.2">
      <c r="A71" s="1">
        <v>203945</v>
      </c>
      <c r="B71" s="14">
        <v>44484</v>
      </c>
      <c r="C71" s="1" t="s">
        <v>113</v>
      </c>
      <c r="D71" s="1" t="s">
        <v>131</v>
      </c>
      <c r="E71" s="1" t="s">
        <v>131</v>
      </c>
      <c r="F71" s="1" t="s">
        <v>90</v>
      </c>
      <c r="G71" s="2" t="s">
        <v>255</v>
      </c>
      <c r="H71" s="1" t="s">
        <v>112</v>
      </c>
    </row>
    <row r="72" spans="1:8" ht="160" x14ac:dyDescent="0.2">
      <c r="A72" s="1">
        <v>203945</v>
      </c>
      <c r="B72" s="14">
        <v>44484</v>
      </c>
      <c r="C72" s="1" t="s">
        <v>113</v>
      </c>
      <c r="D72" s="1" t="s">
        <v>131</v>
      </c>
      <c r="E72" s="1" t="s">
        <v>131</v>
      </c>
      <c r="F72" s="1" t="s">
        <v>99</v>
      </c>
      <c r="G72" s="2" t="s">
        <v>256</v>
      </c>
      <c r="H72" s="1" t="s">
        <v>112</v>
      </c>
    </row>
    <row r="73" spans="1:8" ht="112" x14ac:dyDescent="0.2">
      <c r="A73" s="1">
        <v>203945</v>
      </c>
      <c r="B73" s="14">
        <v>44484</v>
      </c>
      <c r="C73" s="1" t="s">
        <v>113</v>
      </c>
      <c r="D73" s="1" t="s">
        <v>131</v>
      </c>
      <c r="E73" s="1" t="s">
        <v>131</v>
      </c>
      <c r="F73" s="1" t="s">
        <v>71</v>
      </c>
      <c r="G73" s="2" t="s">
        <v>257</v>
      </c>
      <c r="H73" s="2" t="s">
        <v>112</v>
      </c>
    </row>
    <row r="74" spans="1:8" ht="224" x14ac:dyDescent="0.2">
      <c r="A74" s="1">
        <v>204005</v>
      </c>
      <c r="B74" s="14">
        <v>44484</v>
      </c>
      <c r="C74" s="1" t="s">
        <v>105</v>
      </c>
      <c r="D74" s="1" t="s">
        <v>131</v>
      </c>
      <c r="E74" s="1" t="s">
        <v>131</v>
      </c>
      <c r="F74" s="1" t="s">
        <v>74</v>
      </c>
      <c r="G74" s="2" t="s">
        <v>258</v>
      </c>
      <c r="H74" s="1" t="s">
        <v>259</v>
      </c>
    </row>
    <row r="75" spans="1:8" ht="304" x14ac:dyDescent="0.2">
      <c r="A75" s="1">
        <v>204013</v>
      </c>
      <c r="B75" s="14">
        <v>44484</v>
      </c>
      <c r="C75" s="1" t="s">
        <v>73</v>
      </c>
      <c r="D75" s="1" t="s">
        <v>131</v>
      </c>
      <c r="E75" s="1" t="s">
        <v>131</v>
      </c>
      <c r="F75" s="1" t="s">
        <v>71</v>
      </c>
      <c r="G75" s="2" t="s">
        <v>260</v>
      </c>
      <c r="H75" s="2" t="s">
        <v>75</v>
      </c>
    </row>
    <row r="76" spans="1:8" x14ac:dyDescent="0.2">
      <c r="A76" s="1">
        <v>204033</v>
      </c>
      <c r="B76" s="14">
        <v>44484</v>
      </c>
      <c r="C76" s="1" t="s">
        <v>104</v>
      </c>
      <c r="D76" s="1" t="s">
        <v>131</v>
      </c>
      <c r="E76" s="1" t="s">
        <v>131</v>
      </c>
      <c r="F76" s="1" t="s">
        <v>69</v>
      </c>
      <c r="G76" s="1" t="s">
        <v>75</v>
      </c>
      <c r="H76" s="1" t="s">
        <v>75</v>
      </c>
    </row>
    <row r="77" spans="1:8" ht="240" x14ac:dyDescent="0.2">
      <c r="A77" s="1">
        <v>204084</v>
      </c>
      <c r="B77" s="14">
        <v>44484</v>
      </c>
      <c r="C77" s="1" t="s">
        <v>76</v>
      </c>
      <c r="D77" s="1" t="s">
        <v>131</v>
      </c>
      <c r="E77" s="1" t="s">
        <v>131</v>
      </c>
      <c r="F77" s="1" t="s">
        <v>72</v>
      </c>
      <c r="G77" s="2" t="s">
        <v>262</v>
      </c>
      <c r="H77" s="1" t="s">
        <v>112</v>
      </c>
    </row>
    <row r="78" spans="1:8" ht="409.6" x14ac:dyDescent="0.2">
      <c r="A78" s="1">
        <v>204110</v>
      </c>
      <c r="B78" s="14">
        <v>44484</v>
      </c>
      <c r="C78" s="1" t="s">
        <v>87</v>
      </c>
      <c r="D78" s="1" t="s">
        <v>131</v>
      </c>
      <c r="E78" s="1" t="s">
        <v>131</v>
      </c>
      <c r="F78" s="1" t="s">
        <v>74</v>
      </c>
      <c r="G78" s="2" t="s">
        <v>263</v>
      </c>
      <c r="H78" s="2" t="s">
        <v>264</v>
      </c>
    </row>
    <row r="79" spans="1:8" ht="409.6" x14ac:dyDescent="0.2">
      <c r="A79" s="1">
        <v>204110</v>
      </c>
      <c r="B79" s="14">
        <v>44484</v>
      </c>
      <c r="C79" s="1" t="s">
        <v>87</v>
      </c>
      <c r="D79" s="1" t="s">
        <v>131</v>
      </c>
      <c r="E79" s="1" t="s">
        <v>131</v>
      </c>
      <c r="F79" s="1" t="s">
        <v>96</v>
      </c>
      <c r="G79" s="2" t="s">
        <v>265</v>
      </c>
      <c r="H79" s="1" t="s">
        <v>266</v>
      </c>
    </row>
    <row r="80" spans="1:8" ht="409.6" x14ac:dyDescent="0.2">
      <c r="A80" s="1">
        <v>204110</v>
      </c>
      <c r="B80" s="14">
        <v>44484</v>
      </c>
      <c r="C80" s="1" t="s">
        <v>87</v>
      </c>
      <c r="D80" s="1" t="s">
        <v>131</v>
      </c>
      <c r="E80" s="1" t="s">
        <v>131</v>
      </c>
      <c r="F80" s="1" t="s">
        <v>88</v>
      </c>
      <c r="G80" s="2" t="s">
        <v>267</v>
      </c>
      <c r="H80" s="2"/>
    </row>
    <row r="81" spans="1:8" ht="409.6" x14ac:dyDescent="0.2">
      <c r="A81" s="1">
        <v>204110</v>
      </c>
      <c r="B81" s="14">
        <v>44484</v>
      </c>
      <c r="C81" s="1" t="s">
        <v>87</v>
      </c>
      <c r="D81" s="1" t="s">
        <v>131</v>
      </c>
      <c r="E81" s="1" t="s">
        <v>131</v>
      </c>
      <c r="F81" s="1" t="s">
        <v>80</v>
      </c>
      <c r="G81" s="2" t="s">
        <v>268</v>
      </c>
      <c r="H81" s="2"/>
    </row>
    <row r="82" spans="1:8" ht="409.6" x14ac:dyDescent="0.2">
      <c r="A82" s="1">
        <v>204110</v>
      </c>
      <c r="B82" s="14">
        <v>44484</v>
      </c>
      <c r="C82" s="1" t="s">
        <v>87</v>
      </c>
      <c r="D82" s="1" t="s">
        <v>131</v>
      </c>
      <c r="E82" s="1" t="s">
        <v>131</v>
      </c>
      <c r="F82" s="1" t="s">
        <v>84</v>
      </c>
      <c r="G82" s="2" t="s">
        <v>269</v>
      </c>
    </row>
    <row r="83" spans="1:8" ht="409.6" x14ac:dyDescent="0.2">
      <c r="A83" s="1">
        <v>204110</v>
      </c>
      <c r="B83" s="14">
        <v>44484</v>
      </c>
      <c r="C83" s="1" t="s">
        <v>87</v>
      </c>
      <c r="D83" s="1" t="s">
        <v>131</v>
      </c>
      <c r="E83" s="1" t="s">
        <v>131</v>
      </c>
      <c r="F83" s="1" t="s">
        <v>70</v>
      </c>
      <c r="G83" s="2" t="s">
        <v>270</v>
      </c>
      <c r="H83" s="1" t="s">
        <v>271</v>
      </c>
    </row>
    <row r="84" spans="1:8" ht="409.6" x14ac:dyDescent="0.2">
      <c r="A84" s="1">
        <v>204110</v>
      </c>
      <c r="B84" s="14">
        <v>44484</v>
      </c>
      <c r="C84" s="1" t="s">
        <v>87</v>
      </c>
      <c r="D84" s="1" t="s">
        <v>131</v>
      </c>
      <c r="E84" s="1" t="s">
        <v>131</v>
      </c>
      <c r="F84" s="1" t="s">
        <v>77</v>
      </c>
      <c r="G84" s="2" t="s">
        <v>272</v>
      </c>
    </row>
    <row r="85" spans="1:8" ht="409.6" x14ac:dyDescent="0.2">
      <c r="A85" s="1">
        <v>204110</v>
      </c>
      <c r="B85" s="14">
        <v>44484</v>
      </c>
      <c r="C85" s="1" t="s">
        <v>87</v>
      </c>
      <c r="D85" s="1" t="s">
        <v>131</v>
      </c>
      <c r="E85" s="1" t="s">
        <v>131</v>
      </c>
      <c r="F85" s="1" t="s">
        <v>82</v>
      </c>
      <c r="G85" s="2" t="s">
        <v>273</v>
      </c>
    </row>
    <row r="86" spans="1:8" ht="409.6" x14ac:dyDescent="0.2">
      <c r="A86" s="1">
        <v>204110</v>
      </c>
      <c r="B86" s="14">
        <v>44484</v>
      </c>
      <c r="C86" s="1" t="s">
        <v>87</v>
      </c>
      <c r="D86" s="1" t="s">
        <v>131</v>
      </c>
      <c r="E86" s="1" t="s">
        <v>131</v>
      </c>
      <c r="F86" s="1" t="s">
        <v>128</v>
      </c>
      <c r="G86" s="2" t="s">
        <v>274</v>
      </c>
    </row>
    <row r="87" spans="1:8" ht="409.6" x14ac:dyDescent="0.2">
      <c r="A87" s="1">
        <v>204110</v>
      </c>
      <c r="B87" s="14">
        <v>44484</v>
      </c>
      <c r="C87" s="1" t="s">
        <v>87</v>
      </c>
      <c r="D87" s="1" t="s">
        <v>131</v>
      </c>
      <c r="E87" s="1" t="s">
        <v>131</v>
      </c>
      <c r="F87" s="1" t="s">
        <v>69</v>
      </c>
      <c r="G87" s="2" t="s">
        <v>275</v>
      </c>
    </row>
    <row r="88" spans="1:8" ht="395" x14ac:dyDescent="0.2">
      <c r="A88" s="1">
        <v>204110</v>
      </c>
      <c r="B88" s="14">
        <v>44484</v>
      </c>
      <c r="C88" s="1" t="s">
        <v>87</v>
      </c>
      <c r="D88" s="1" t="s">
        <v>131</v>
      </c>
      <c r="E88" s="1" t="s">
        <v>131</v>
      </c>
      <c r="F88" s="1" t="s">
        <v>81</v>
      </c>
      <c r="G88" s="2" t="s">
        <v>276</v>
      </c>
    </row>
    <row r="89" spans="1:8" ht="409.6" x14ac:dyDescent="0.2">
      <c r="A89" s="1">
        <v>204110</v>
      </c>
      <c r="B89" s="14">
        <v>44484</v>
      </c>
      <c r="C89" s="1" t="s">
        <v>87</v>
      </c>
      <c r="D89" s="1" t="s">
        <v>131</v>
      </c>
      <c r="E89" s="1" t="s">
        <v>131</v>
      </c>
      <c r="F89" s="1" t="s">
        <v>97</v>
      </c>
      <c r="G89" s="2" t="s">
        <v>277</v>
      </c>
    </row>
    <row r="90" spans="1:8" ht="409.6" x14ac:dyDescent="0.2">
      <c r="A90" s="1">
        <v>204110</v>
      </c>
      <c r="B90" s="14">
        <v>44484</v>
      </c>
      <c r="C90" s="1" t="s">
        <v>87</v>
      </c>
      <c r="D90" s="1" t="s">
        <v>131</v>
      </c>
      <c r="E90" s="1" t="s">
        <v>131</v>
      </c>
      <c r="F90" s="1" t="s">
        <v>79</v>
      </c>
      <c r="G90" s="2" t="s">
        <v>278</v>
      </c>
    </row>
    <row r="91" spans="1:8" ht="320" x14ac:dyDescent="0.2">
      <c r="A91" s="1">
        <v>204110</v>
      </c>
      <c r="B91" s="14">
        <v>44484</v>
      </c>
      <c r="C91" s="1" t="s">
        <v>87</v>
      </c>
      <c r="D91" s="1" t="s">
        <v>131</v>
      </c>
      <c r="E91" s="1" t="s">
        <v>131</v>
      </c>
      <c r="F91" s="1" t="s">
        <v>72</v>
      </c>
      <c r="G91" s="2" t="s">
        <v>279</v>
      </c>
    </row>
    <row r="92" spans="1:8" ht="409.6" x14ac:dyDescent="0.2">
      <c r="A92" s="1">
        <v>204110</v>
      </c>
      <c r="B92" s="14">
        <v>44484</v>
      </c>
      <c r="C92" s="1" t="s">
        <v>87</v>
      </c>
      <c r="D92" s="1" t="s">
        <v>131</v>
      </c>
      <c r="E92" s="1" t="s">
        <v>131</v>
      </c>
      <c r="F92" s="1" t="s">
        <v>98</v>
      </c>
      <c r="G92" s="2" t="s">
        <v>280</v>
      </c>
    </row>
    <row r="93" spans="1:8" ht="409.6" x14ac:dyDescent="0.2">
      <c r="A93" s="1">
        <v>204110</v>
      </c>
      <c r="B93" s="14">
        <v>44484</v>
      </c>
      <c r="C93" s="1" t="s">
        <v>87</v>
      </c>
      <c r="D93" s="1" t="s">
        <v>131</v>
      </c>
      <c r="E93" s="1" t="s">
        <v>131</v>
      </c>
      <c r="F93" s="1" t="s">
        <v>89</v>
      </c>
      <c r="G93" s="2" t="s">
        <v>281</v>
      </c>
      <c r="H93" s="1" t="s">
        <v>282</v>
      </c>
    </row>
    <row r="94" spans="1:8" ht="380" x14ac:dyDescent="0.2">
      <c r="A94" s="1">
        <v>204110</v>
      </c>
      <c r="B94" s="14">
        <v>44484</v>
      </c>
      <c r="C94" s="1" t="s">
        <v>87</v>
      </c>
      <c r="D94" s="1" t="s">
        <v>131</v>
      </c>
      <c r="E94" s="1" t="s">
        <v>131</v>
      </c>
      <c r="F94" s="1" t="s">
        <v>91</v>
      </c>
      <c r="G94" s="2" t="s">
        <v>283</v>
      </c>
    </row>
    <row r="95" spans="1:8" ht="380" x14ac:dyDescent="0.2">
      <c r="A95" s="1">
        <v>204110</v>
      </c>
      <c r="B95" s="14">
        <v>44484</v>
      </c>
      <c r="C95" s="1" t="s">
        <v>87</v>
      </c>
      <c r="D95" s="1" t="s">
        <v>131</v>
      </c>
      <c r="E95" s="1" t="s">
        <v>131</v>
      </c>
      <c r="F95" s="1" t="s">
        <v>86</v>
      </c>
      <c r="G95" s="2" t="s">
        <v>283</v>
      </c>
    </row>
    <row r="96" spans="1:8" ht="409.6" x14ac:dyDescent="0.2">
      <c r="A96" s="1">
        <v>204110</v>
      </c>
      <c r="B96" s="14">
        <v>44484</v>
      </c>
      <c r="C96" s="1" t="s">
        <v>87</v>
      </c>
      <c r="D96" s="1" t="s">
        <v>131</v>
      </c>
      <c r="E96" s="1" t="s">
        <v>131</v>
      </c>
      <c r="F96" s="1" t="s">
        <v>90</v>
      </c>
      <c r="G96" s="2" t="s">
        <v>284</v>
      </c>
    </row>
    <row r="97" spans="1:8" ht="380" x14ac:dyDescent="0.2">
      <c r="A97" s="1">
        <v>204110</v>
      </c>
      <c r="B97" s="14">
        <v>44484</v>
      </c>
      <c r="C97" s="1" t="s">
        <v>87</v>
      </c>
      <c r="D97" s="1" t="s">
        <v>131</v>
      </c>
      <c r="E97" s="1" t="s">
        <v>131</v>
      </c>
      <c r="F97" s="1" t="s">
        <v>99</v>
      </c>
      <c r="G97" s="2" t="s">
        <v>283</v>
      </c>
    </row>
    <row r="98" spans="1:8" ht="380" x14ac:dyDescent="0.2">
      <c r="A98" s="1">
        <v>204110</v>
      </c>
      <c r="B98" s="14">
        <v>44484</v>
      </c>
      <c r="C98" s="1" t="s">
        <v>87</v>
      </c>
      <c r="D98" s="1" t="s">
        <v>131</v>
      </c>
      <c r="E98" s="1" t="s">
        <v>131</v>
      </c>
      <c r="F98" s="1" t="s">
        <v>71</v>
      </c>
      <c r="G98" s="2" t="s">
        <v>283</v>
      </c>
    </row>
    <row r="99" spans="1:8" x14ac:dyDescent="0.2">
      <c r="A99" s="1">
        <v>204113</v>
      </c>
      <c r="B99" s="14">
        <v>44484</v>
      </c>
      <c r="C99" s="1" t="s">
        <v>116</v>
      </c>
      <c r="D99" s="1" t="s">
        <v>131</v>
      </c>
      <c r="E99" s="1" t="s">
        <v>131</v>
      </c>
      <c r="F99" s="1" t="s">
        <v>70</v>
      </c>
      <c r="G99" s="1" t="s">
        <v>285</v>
      </c>
      <c r="H99" s="1" t="s">
        <v>286</v>
      </c>
    </row>
    <row r="100" spans="1:8" ht="128" x14ac:dyDescent="0.2">
      <c r="A100" s="1">
        <v>204113</v>
      </c>
      <c r="B100" s="14">
        <v>44484</v>
      </c>
      <c r="C100" s="1" t="s">
        <v>116</v>
      </c>
      <c r="D100" s="1" t="s">
        <v>131</v>
      </c>
      <c r="E100" s="1" t="s">
        <v>131</v>
      </c>
      <c r="F100" s="1" t="s">
        <v>82</v>
      </c>
      <c r="G100" s="2" t="s">
        <v>287</v>
      </c>
      <c r="H100" s="1" t="s">
        <v>288</v>
      </c>
    </row>
    <row r="101" spans="1:8" ht="350" x14ac:dyDescent="0.2">
      <c r="A101" s="1">
        <v>204113</v>
      </c>
      <c r="B101" s="14">
        <v>44484</v>
      </c>
      <c r="C101" s="1" t="s">
        <v>116</v>
      </c>
      <c r="D101" s="1" t="s">
        <v>131</v>
      </c>
      <c r="E101" s="1" t="s">
        <v>131</v>
      </c>
      <c r="F101" s="1" t="s">
        <v>96</v>
      </c>
      <c r="G101" s="2" t="s">
        <v>289</v>
      </c>
      <c r="H101" s="1" t="s">
        <v>290</v>
      </c>
    </row>
    <row r="102" spans="1:8" ht="192" x14ac:dyDescent="0.2">
      <c r="A102" s="1">
        <v>204113</v>
      </c>
      <c r="B102" s="14">
        <v>44484</v>
      </c>
      <c r="C102" s="1" t="s">
        <v>116</v>
      </c>
      <c r="D102" s="1" t="s">
        <v>131</v>
      </c>
      <c r="E102" s="1" t="s">
        <v>131</v>
      </c>
      <c r="F102" s="1" t="s">
        <v>74</v>
      </c>
      <c r="G102" s="2" t="s">
        <v>291</v>
      </c>
      <c r="H102" s="1" t="s">
        <v>292</v>
      </c>
    </row>
    <row r="103" spans="1:8" ht="80" x14ac:dyDescent="0.2">
      <c r="A103" s="1">
        <v>204113</v>
      </c>
      <c r="B103" s="14">
        <v>44484</v>
      </c>
      <c r="C103" s="1" t="s">
        <v>116</v>
      </c>
      <c r="D103" s="1" t="s">
        <v>131</v>
      </c>
      <c r="E103" s="1" t="s">
        <v>131</v>
      </c>
      <c r="F103" s="1" t="s">
        <v>84</v>
      </c>
      <c r="G103" s="2" t="s">
        <v>293</v>
      </c>
      <c r="H103" s="1" t="s">
        <v>294</v>
      </c>
    </row>
    <row r="104" spans="1:8" ht="224" x14ac:dyDescent="0.2">
      <c r="A104" s="1">
        <v>204113</v>
      </c>
      <c r="B104" s="14">
        <v>44484</v>
      </c>
      <c r="C104" s="1" t="s">
        <v>116</v>
      </c>
      <c r="D104" s="1" t="s">
        <v>131</v>
      </c>
      <c r="E104" s="1" t="s">
        <v>131</v>
      </c>
      <c r="F104" s="1" t="s">
        <v>96</v>
      </c>
      <c r="G104" s="2" t="s">
        <v>295</v>
      </c>
      <c r="H104" s="1" t="s">
        <v>296</v>
      </c>
    </row>
    <row r="105" spans="1:8" x14ac:dyDescent="0.2">
      <c r="A105" s="1">
        <v>204126</v>
      </c>
      <c r="B105" s="14">
        <v>44484</v>
      </c>
      <c r="C105" s="1" t="s">
        <v>117</v>
      </c>
      <c r="D105" s="1" t="s">
        <v>131</v>
      </c>
      <c r="E105" s="1" t="s">
        <v>131</v>
      </c>
      <c r="F105" s="1" t="s">
        <v>69</v>
      </c>
      <c r="G105" s="1" t="s">
        <v>297</v>
      </c>
      <c r="H105" s="1" t="s">
        <v>298</v>
      </c>
    </row>
    <row r="106" spans="1:8" x14ac:dyDescent="0.2">
      <c r="A106" s="1">
        <v>204126</v>
      </c>
      <c r="B106" s="14">
        <v>44484</v>
      </c>
      <c r="C106" s="1" t="s">
        <v>117</v>
      </c>
      <c r="D106" s="1" t="s">
        <v>131</v>
      </c>
      <c r="E106" s="1" t="s">
        <v>131</v>
      </c>
      <c r="F106" s="1" t="s">
        <v>80</v>
      </c>
      <c r="G106" s="1" t="s">
        <v>299</v>
      </c>
      <c r="H106" s="1" t="s">
        <v>298</v>
      </c>
    </row>
    <row r="107" spans="1:8" x14ac:dyDescent="0.2">
      <c r="A107" s="1">
        <v>204126</v>
      </c>
      <c r="B107" s="14">
        <v>44484</v>
      </c>
      <c r="C107" s="1" t="s">
        <v>117</v>
      </c>
      <c r="D107" s="1" t="s">
        <v>131</v>
      </c>
      <c r="E107" s="1" t="s">
        <v>131</v>
      </c>
      <c r="F107" s="1" t="s">
        <v>74</v>
      </c>
      <c r="G107" s="1" t="s">
        <v>300</v>
      </c>
      <c r="H107" s="1" t="s">
        <v>298</v>
      </c>
    </row>
    <row r="108" spans="1:8" x14ac:dyDescent="0.2">
      <c r="A108" s="1">
        <v>204126</v>
      </c>
      <c r="B108" s="14">
        <v>44484</v>
      </c>
      <c r="C108" s="1" t="s">
        <v>117</v>
      </c>
      <c r="D108" s="1" t="s">
        <v>131</v>
      </c>
      <c r="E108" s="1" t="s">
        <v>131</v>
      </c>
      <c r="F108" s="1" t="s">
        <v>84</v>
      </c>
      <c r="G108" s="1" t="s">
        <v>301</v>
      </c>
      <c r="H108" s="1" t="s">
        <v>298</v>
      </c>
    </row>
    <row r="109" spans="1:8" x14ac:dyDescent="0.2">
      <c r="A109" s="1">
        <v>204139</v>
      </c>
      <c r="B109" s="14">
        <v>44484</v>
      </c>
      <c r="C109" s="1" t="s">
        <v>106</v>
      </c>
      <c r="D109" s="1" t="s">
        <v>131</v>
      </c>
      <c r="E109" s="1" t="s">
        <v>131</v>
      </c>
      <c r="F109" s="1" t="s">
        <v>79</v>
      </c>
      <c r="G109" s="1" t="s">
        <v>302</v>
      </c>
      <c r="H109" s="1" t="s">
        <v>303</v>
      </c>
    </row>
    <row r="110" spans="1:8" x14ac:dyDescent="0.2">
      <c r="A110" s="1">
        <v>204152</v>
      </c>
      <c r="B110" s="14">
        <v>44484</v>
      </c>
      <c r="C110" s="1" t="s">
        <v>109</v>
      </c>
      <c r="D110" s="1" t="s">
        <v>131</v>
      </c>
      <c r="E110" s="1" t="s">
        <v>131</v>
      </c>
      <c r="F110" s="1" t="s">
        <v>74</v>
      </c>
      <c r="G110" s="1">
        <v>0</v>
      </c>
      <c r="H110" s="1">
        <v>0</v>
      </c>
    </row>
    <row r="111" spans="1:8" ht="208" x14ac:dyDescent="0.2">
      <c r="A111" s="1">
        <v>204165</v>
      </c>
      <c r="B111" s="14">
        <v>44484</v>
      </c>
      <c r="C111" s="1" t="s">
        <v>103</v>
      </c>
      <c r="D111" s="1" t="s">
        <v>131</v>
      </c>
      <c r="E111" s="1" t="s">
        <v>131</v>
      </c>
      <c r="F111" s="1" t="s">
        <v>96</v>
      </c>
      <c r="G111" s="2" t="s">
        <v>304</v>
      </c>
      <c r="H111" s="2" t="s">
        <v>304</v>
      </c>
    </row>
    <row r="112" spans="1:8" ht="409.6" x14ac:dyDescent="0.2">
      <c r="A112" s="1">
        <v>204165</v>
      </c>
      <c r="B112" s="14">
        <v>44484</v>
      </c>
      <c r="C112" s="1" t="s">
        <v>103</v>
      </c>
      <c r="D112" s="1" t="s">
        <v>131</v>
      </c>
      <c r="E112" s="1" t="s">
        <v>131</v>
      </c>
      <c r="F112" s="1" t="s">
        <v>77</v>
      </c>
      <c r="G112" s="2" t="s">
        <v>305</v>
      </c>
      <c r="H112" s="2" t="s">
        <v>305</v>
      </c>
    </row>
    <row r="113" spans="1:8" ht="409.6" x14ac:dyDescent="0.2">
      <c r="A113" s="1">
        <v>204165</v>
      </c>
      <c r="B113" s="14">
        <v>44484</v>
      </c>
      <c r="C113" s="1" t="s">
        <v>103</v>
      </c>
      <c r="D113" s="1" t="s">
        <v>131</v>
      </c>
      <c r="E113" s="1" t="s">
        <v>131</v>
      </c>
      <c r="F113" s="1" t="s">
        <v>69</v>
      </c>
      <c r="G113" s="2" t="s">
        <v>306</v>
      </c>
      <c r="H113" s="2" t="s">
        <v>306</v>
      </c>
    </row>
    <row r="114" spans="1:8" ht="409.6" x14ac:dyDescent="0.2">
      <c r="A114" s="1">
        <v>204165</v>
      </c>
      <c r="B114" s="14">
        <v>44484</v>
      </c>
      <c r="C114" s="1" t="s">
        <v>103</v>
      </c>
      <c r="D114" s="1" t="s">
        <v>131</v>
      </c>
      <c r="E114" s="1" t="s">
        <v>131</v>
      </c>
      <c r="F114" s="1" t="s">
        <v>86</v>
      </c>
      <c r="G114" s="2" t="s">
        <v>307</v>
      </c>
      <c r="H114" s="2" t="s">
        <v>307</v>
      </c>
    </row>
    <row r="115" spans="1:8" ht="144" x14ac:dyDescent="0.2">
      <c r="A115" s="1">
        <v>204178</v>
      </c>
      <c r="B115" s="14">
        <v>44484</v>
      </c>
      <c r="C115" s="1" t="s">
        <v>154</v>
      </c>
      <c r="D115" s="1" t="s">
        <v>131</v>
      </c>
      <c r="E115" s="1" t="s">
        <v>131</v>
      </c>
      <c r="F115" s="1" t="s">
        <v>69</v>
      </c>
      <c r="G115" s="2" t="s">
        <v>308</v>
      </c>
      <c r="H115" s="1" t="s">
        <v>75</v>
      </c>
    </row>
    <row r="116" spans="1:8" ht="409.6" x14ac:dyDescent="0.2">
      <c r="A116" s="1">
        <v>204178</v>
      </c>
      <c r="B116" s="14">
        <v>44484</v>
      </c>
      <c r="C116" s="1" t="s">
        <v>154</v>
      </c>
      <c r="D116" s="1" t="s">
        <v>131</v>
      </c>
      <c r="E116" s="1" t="s">
        <v>131</v>
      </c>
      <c r="F116" s="1" t="s">
        <v>79</v>
      </c>
      <c r="G116" s="2" t="s">
        <v>309</v>
      </c>
      <c r="H116" s="1" t="s">
        <v>75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H72"/>
  <sheetViews>
    <sheetView tabSelected="1" workbookViewId="0">
      <selection activeCell="G20" sqref="G20"/>
    </sheetView>
  </sheetViews>
  <sheetFormatPr baseColWidth="10" defaultRowHeight="15" x14ac:dyDescent="0.2"/>
  <cols>
    <col min="2" max="2" width="11.1640625" style="8" bestFit="1" customWidth="1"/>
    <col min="4" max="4" width="65.5" customWidth="1"/>
    <col min="5" max="5" width="12.5" style="10" customWidth="1"/>
    <col min="6" max="6" width="35.33203125" customWidth="1"/>
    <col min="7" max="7" width="34.83203125" customWidth="1"/>
    <col min="8" max="8" width="41.1640625" customWidth="1"/>
  </cols>
  <sheetData>
    <row r="1" spans="1:8" s="5" customFormat="1" x14ac:dyDescent="0.2">
      <c r="A1" s="6" t="s">
        <v>119</v>
      </c>
      <c r="B1" s="7" t="s">
        <v>120</v>
      </c>
      <c r="C1" s="6" t="s">
        <v>126</v>
      </c>
      <c r="D1" s="6" t="s">
        <v>121</v>
      </c>
      <c r="E1" s="9" t="s">
        <v>127</v>
      </c>
      <c r="F1" s="6" t="s">
        <v>118</v>
      </c>
      <c r="G1" s="6" t="s">
        <v>122</v>
      </c>
      <c r="H1" s="6" t="s">
        <v>123</v>
      </c>
    </row>
    <row r="2" spans="1:8" x14ac:dyDescent="0.2">
      <c r="A2">
        <f>+Hoja2!A23</f>
        <v>203880</v>
      </c>
      <c r="B2" s="8">
        <f>+Hoja2!B2</f>
        <v>44484</v>
      </c>
      <c r="C2">
        <f>+VLOOKUP(D2,DepMaster!$B:$C,2,FALSE)</f>
        <v>751</v>
      </c>
      <c r="D2" t="str">
        <f>+Hoja2!C23</f>
        <v>Secretaría de Desarrollo Económico</v>
      </c>
      <c r="E2" s="10" t="str">
        <f>+MID(Hoja2!F23,1,2)</f>
        <v>06</v>
      </c>
      <c r="F2" t="str">
        <f>+MID(Hoja2!F23,4,20)</f>
        <v>DOCE DE OCTUBRE</v>
      </c>
      <c r="G2" t="str">
        <f>+Hoja2!G23</f>
        <v>Se llevo a cabo evento en la comuna 6 de la ciudad, donde se tuvo feria de servicios con diferentes dependencias de la administración, se contó con la participación de 6 empresarios de CHM y lograron ventas por más de 1 millón de pesos</v>
      </c>
      <c r="H2" t="str">
        <f>+Hoja2!H23</f>
        <v>sin cifras</v>
      </c>
    </row>
    <row r="3" spans="1:8" x14ac:dyDescent="0.2">
      <c r="A3">
        <f>+Hoja2!A24</f>
        <v>203880</v>
      </c>
      <c r="B3" s="8">
        <f>+Hoja2!B3</f>
        <v>44484</v>
      </c>
      <c r="C3">
        <f>+VLOOKUP(D3,DepMaster!$B:$C,2,FALSE)</f>
        <v>751</v>
      </c>
      <c r="D3" t="str">
        <f>+Hoja2!C24</f>
        <v>Secretaría de Desarrollo Económico</v>
      </c>
      <c r="E3" s="10" t="str">
        <f>+MID(Hoja2!F24,1,2)</f>
        <v>05</v>
      </c>
      <c r="F3" t="str">
        <f>+MID(Hoja2!F24,4,20)</f>
        <v>CASTILLA</v>
      </c>
      <c r="G3" t="str">
        <f>+Hoja2!G24</f>
        <v xml:space="preserve">Los días 14 y 15 de octubre se llevará a cabo la Vitrina Campesina en la Terminal del Norte, desde las 9:00 am a las 3:00 pm, en la cual tendremos 8 participantes productores. </v>
      </c>
      <c r="H3" t="str">
        <f>+Hoja2!H24</f>
        <v>sin cifras</v>
      </c>
    </row>
    <row r="4" spans="1:8" x14ac:dyDescent="0.2">
      <c r="A4">
        <f>+Hoja2!A25</f>
        <v>203905</v>
      </c>
      <c r="B4" s="8">
        <f>+Hoja2!B4</f>
        <v>44484</v>
      </c>
      <c r="C4">
        <f>+VLOOKUP(D4,DepMaster!$B:$C,2,FALSE)</f>
        <v>732</v>
      </c>
      <c r="D4" t="str">
        <f>+Hoja2!C25</f>
        <v>Secretaría de Seguridad y Convivencia</v>
      </c>
      <c r="E4" s="10" t="str">
        <f>+MID(Hoja2!F25,1,2)</f>
        <v>01</v>
      </c>
      <c r="F4" t="str">
        <f>+MID(Hoja2!F25,4,20)</f>
        <v>POPULAR</v>
      </c>
      <c r="G4" t="str">
        <f>+Hoja2!G25</f>
        <v xml:space="preserve">-	El 8 de octubre a partir de las 9:00 a.m., se brindó acompañamiento en oferta institucional convocada por la mesa de primera infancia de la comuna 1, en la cancha cubierta de Rancho Verde Institución Educativa Fe y Alegría No. 2, ubicada en la carrera 30 # 110b-24, Santo Domingo (comuna 1), con el fin de ofertar a la comunidad algunos servicios de la Casa de Justicia Santo Domingo, a través de la Personería, Migración Colombia y la Inspección de Policía.
-	El viernes 8 de octubre, de 8:00 a.m., a 12 m., se realizó en la Casa de Justicia Santo Domingo en articulación con Buen Comienzo, unas actividades lúdicas de lectura de cuentos con los niños, niñas y jóvenes, quienes además conocieron qué son las Casas de Justicia y qué servicios prestan.
-	El 5 de octubre en el barrio Popular 1 la Esperanza, se realiza socialización de Código Nacional de Seguridad y Convivencia, buscando mitigar comportamientos contrarios a la convivencia como ruido y perturbación a la tranquilidad, mal manejo de residuos sólidos y ocupación indebida del espacio público. 
-	El 7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realizaron mediciones de ruido de forma pedagogía con el ingeniero de sonido del programa. 
-	Se avanza en  plan de supervisión del contrato 4600091659 de 2021 - Presupuesto Participativo con  la Empresa Metroparques para la ejecución de los recursos de PL y PP 2.021. Inversión $2.604.762.199, correspondiente a las comunas: 1-Popular, 04 Aranjuez, 10 La Candelaria, y 80 Corregimiento de San Antonio de Prado. (Pendiente la firma del acta de inicio)
</v>
      </c>
      <c r="H4" t="str">
        <f>+Hoja2!H25</f>
        <v xml:space="preserve">-	El 8 de octubre a partir de las 9:00 a.m., se brindó acompañamiento en oferta institucional convocada por la mesa de primera infancia de la comuna 1, en la cancha cubierta de Rancho Verde Institución Educativa Fe y Alegría No. 2, ubicada en la carrera 30 # 110b-24, Santo Domingo (comuna 1), con el fin de ofertar a la comunidad algunos servicios de la Casa de Justicia Santo Domingo, a través de la Personería, Migración Colombia y la Inspección de Policía, beneficiándose a 110 personas.
-	El viernes 8 de octubre, de 8:00 a.m., a 12 m., se realizó en la Casa de Justicia Santo Domingo en articulación con Buen Comienzo, unas actividades lúdicas de lectura de cuentos con los niños, niñas y jóvenes, quienes además conocieron qué son las Casas de Justicia y qué servicios prestan, impactándose a 80 personas.
-	El 5 de octubre en el barrio Popular 1 la Esperanza, se realiza socialización de Código Nacional de Seguridad y Convivencia, buscando mitigar comportamientos contrarios a la convivencia como ruido y perturbación a la tranquilidad, mal manejo de residuos sólidos y ocupación indebida del espacio público. Personas impactada: 60. 
-	El 7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realizaron mediciones de ruido de forma pedagogía con el ingeniero de sonido del programa. Se visitaron 5 establecimientos de comercio.
</v>
      </c>
    </row>
    <row r="5" spans="1:8" x14ac:dyDescent="0.2">
      <c r="A5">
        <f>+Hoja2!A26</f>
        <v>203905</v>
      </c>
      <c r="B5" s="8">
        <f>+Hoja2!B5</f>
        <v>44484</v>
      </c>
      <c r="C5">
        <f>+VLOOKUP(D5,DepMaster!$B:$C,2,FALSE)</f>
        <v>732</v>
      </c>
      <c r="D5" t="str">
        <f>+Hoja2!C26</f>
        <v>Secretaría de Seguridad y Convivencia</v>
      </c>
      <c r="E5" s="10" t="str">
        <f>+MID(Hoja2!F26,1,2)</f>
        <v>02</v>
      </c>
      <c r="F5" t="str">
        <f>+MID(Hoja2!F26,4,20)</f>
        <v>SANTA CRUZ</v>
      </c>
      <c r="G5" t="str">
        <f>+Hoja2!G26</f>
        <v xml:space="preserve">-	Se realiza carrusel pedagógico interinstitucional en prevención del delito, fortaleciendo la prevención en venta y consumo de estupefacientes, uso e instrumentalización de menos, autocuidado y corresponsabilidad social.  
-	Se genera articulación para minimizar efectos de alerta en el barrio Santa Cruz, brindando a la comunidad charla educativa en OPE.
-	Se realiza chala educativa con comerciantes en articulación con la JAC Andalucía en prevención venta y consumo estupefacientes.
-	Se crean 2 Redes de apoyo comunitaria en prevención del delito en el barrio la Francia y barrio Santa Cruz con grupos formados en procesos pedagógicos de prevención de las problemáticas de seguridad y convivencia. 
</v>
      </c>
      <c r="H5" t="str">
        <f>+Hoja2!H26</f>
        <v xml:space="preserve">-	Se realiza carrusel pedagógico interinstitucional en prevención del delito, fortaleciendo la prevención en venta y consumo de estupefacientes, uso e instrumentalización de menos, autocuidado y corresponsabilidad social.  Se sensibiliza a 56 estudiantes de los grados 9.
-	Se genera articulación para minimizar efectos de alerta en el barrio Santa Cruz, brindando a la comunidad charla educativa en OPE, se articula 10 personas.
-	Se realiza chala educativa con comerciantes en articulación con la JAC Andalucía en prevención venta y consumo estupefacientes, se sensibiliza a 22 personas.
-	Se crean 2 Redes de apoyo comunitaria en prevención del delito en el barrio la Francia y barrio Santa Cruz con grupos formados en procesos pedagógicos de prevención de las problemáticas de seguridad y convivencia. participan 30 personas.
</v>
      </c>
    </row>
    <row r="6" spans="1:8" x14ac:dyDescent="0.2">
      <c r="A6">
        <f>+Hoja2!A27</f>
        <v>203905</v>
      </c>
      <c r="B6" s="8">
        <f>+Hoja2!B6</f>
        <v>44484</v>
      </c>
      <c r="C6">
        <f>+VLOOKUP(D6,DepMaster!$B:$C,2,FALSE)</f>
        <v>732</v>
      </c>
      <c r="D6" t="str">
        <f>+Hoja2!C27</f>
        <v>Secretaría de Seguridad y Convivencia</v>
      </c>
      <c r="E6" s="10" t="str">
        <f>+MID(Hoja2!F27,1,2)</f>
        <v>03</v>
      </c>
      <c r="F6" t="str">
        <f>+MID(Hoja2!F27,4,20)</f>
        <v>MANRIQUE</v>
      </c>
      <c r="G6" t="str">
        <f>+Hoja2!G27</f>
        <v xml:space="preserve">-	Actividad preventiva para hurto de Motocicletas en Manrique Central 
-	El 6 de octubre en el barrio Las granjas en articulación con junta de acción comunal, policía vecindario y secretaría de seguridad y convivencia, se realizó un encuentro comunitario con el objetivo de sensibilizar sobre los comportamientos contrarios a la convivencia. Con la estrategia "ponte en los zapatos del otro" logrando el trabajo en equipo de líderes, grupo del adulto mayor y la interistitucionalidad. 
-	El 7 de octubre en el barrio Las granjas en el marco del plan de acción especial, la Unidad de Convivencia realiza actividad pedagógica y socialización del código nacional de seguridad y convivencia a través de una tarde de película permitiéndonos reflexionar con la comunidad sobre la violencia intrafamiliar y de género, ya que en este sector se presentó recientemente un homicidio por convivencia. 
</v>
      </c>
      <c r="H6" t="str">
        <f>+Hoja2!H27</f>
        <v xml:space="preserve">-	Actividad preventiva para hurto de Motocicletas en Manrique Central se impactaron aproximadamente 50 personas en población flotante.
-	El 6 de octubre en el barrio Las granjas en articulación con junta de acción comunal, policía vecindario y secretaría de seguridad y convivencia, se realizó un encuentro comunitario con el objetivo de sensibilizar sobre los comportamientos contrarios a la convivencia. Con la estrategia "ponte en los zapatos del otro" logrando el trabajo en equipo de líderes, grupo del adulto mayor y la interistitucionalidad. Participaron 25 personas.
-	El 7 de octubre en el barrio Las granjas en el marco del plan de acción especial, la Unidad de Convivencia realiza actividad pedagógica y socialización del código nacional de seguridad y convivencia a través de una tarde de película permitiéndonos reflexionar con la comunidad sobre la violencia intrafamiliar y de género, ya que en este sector se presentó recientemente un homicidio por convivencia. Personas impactadas: 100.
</v>
      </c>
    </row>
    <row r="7" spans="1:8" x14ac:dyDescent="0.2">
      <c r="A7">
        <f>+Hoja2!A28</f>
        <v>203905</v>
      </c>
      <c r="B7" s="8">
        <f>+Hoja2!B7</f>
        <v>44484</v>
      </c>
      <c r="C7">
        <f>+VLOOKUP(D7,DepMaster!$B:$C,2,FALSE)</f>
        <v>732</v>
      </c>
      <c r="D7" t="str">
        <f>+Hoja2!C28</f>
        <v>Secretaría de Seguridad y Convivencia</v>
      </c>
      <c r="E7" s="10" t="str">
        <f>+MID(Hoja2!F28,1,2)</f>
        <v>04</v>
      </c>
      <c r="F7" t="str">
        <f>+MID(Hoja2!F28,4,20)</f>
        <v>ARANJUEZ</v>
      </c>
      <c r="G7" t="str">
        <f>+Hoja2!G28</f>
        <v xml:space="preserve">-	En una intervención con el apoyo de la PONAL se logró recuperar el espacio público que por denuncias de la comunidad tenían problemática de cambuches.  
-	Se realizaron 5 jornadas de Promoción de Rutas de Atención y Mecanismos de Defensa de los DDHH y la Convivencia, durante la semana del 4 al 10 de octubre, de 9:00 a.m. a 3:00 p.m., en mesas de atención ubicadas al lado de la puerta de acceso principal de la Casa de Justicia El Bosque.
-	El 7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realizaron mediciones de ruido de forma pedagogía con el ingeniero de sonido del programa. 
-	Se avanza en  plan de supervisión del contrato 4600091659 de 2021 - Presupuesto Participativo con  la Empresa Metroparques para la ejecución de los recursos de PL y PP 2.021. Inversión $2.604.762.199, correspondiente a las comunas: 1-Popular, 04 Aranjuez, 10 La Candelaria, y 80 Corregimiento de San Antonio de Prado. (Pendiente la firma del acta de inicio)
</v>
      </c>
      <c r="H7" t="str">
        <f>+Hoja2!H28</f>
        <v xml:space="preserve">-	Se realizaron 5 jornadas de Promoción de Rutas de Atención y Mecanismos de Defensa de los DDHH y la Convivencia, durante la semana del 4 al 10 de octubre, de 9:00 a.m. a 3:00 p.m., en mesas de atención ubicadas al lado de la puerta de acceso principal de la Casa de Justicia El Bosque, beneficiándose 230 personas.
-	El 7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realizaron mediciones de ruido de forma pedagogía con el ingeniero de sonido del programa. Se visitaron 5 establecimientos de comercio.
</v>
      </c>
    </row>
    <row r="8" spans="1:8" x14ac:dyDescent="0.2">
      <c r="A8">
        <f>+Hoja2!A29</f>
        <v>203905</v>
      </c>
      <c r="B8" s="8">
        <f>+Hoja2!B8</f>
        <v>44484</v>
      </c>
      <c r="C8">
        <f>+VLOOKUP(D8,DepMaster!$B:$C,2,FALSE)</f>
        <v>732</v>
      </c>
      <c r="D8" t="str">
        <f>+Hoja2!C29</f>
        <v>Secretaría de Seguridad y Convivencia</v>
      </c>
      <c r="E8" s="10" t="str">
        <f>+MID(Hoja2!F29,1,2)</f>
        <v>05</v>
      </c>
      <c r="F8" t="str">
        <f>+MID(Hoja2!F29,4,20)</f>
        <v>CASTILLA</v>
      </c>
      <c r="G8" t="str">
        <f>+Hoja2!G29</f>
        <v>-	El Subsecretario de Gobierno Local y convivencia, el Personal de la Unidad de Convivencia (Promotores Locales de Gobierno, Medellín Convive la Noche) y la Policía Nacional, en atención a quejas ciudadanas manifestadas por la presidenta de la Junta de Acción Comunal del Barrio Girardot Castilla (comuna 5), realiza recorrido por el sector comercial conocido como Gratamira con el propósito de verificar el cumplimiento de requisitos de funcionamiento de establecimientos de comercio con actividad económica Venta y Consumo de licor, hacer pedagogía sobre los niveles de ruido permitidos y de ser necesario. En este recorrido se visitan 5 establecimientos de comercio de los cuales 2 fueron cerrados preventivamente y a uno se le impuso medida correctiva por 5 días por incumplir con los requisitos establecidos en la Ley 1801 de 2016.</v>
      </c>
      <c r="H8">
        <f>+Hoja2!H29</f>
        <v>0</v>
      </c>
    </row>
    <row r="9" spans="1:8" x14ac:dyDescent="0.2">
      <c r="A9">
        <f>+Hoja2!A30</f>
        <v>203905</v>
      </c>
      <c r="B9" s="8">
        <f>+Hoja2!B9</f>
        <v>44484</v>
      </c>
      <c r="C9">
        <f>+VLOOKUP(D9,DepMaster!$B:$C,2,FALSE)</f>
        <v>732</v>
      </c>
      <c r="D9" t="str">
        <f>+Hoja2!C30</f>
        <v>Secretaría de Seguridad y Convivencia</v>
      </c>
      <c r="E9" s="10" t="str">
        <f>+MID(Hoja2!F30,1,2)</f>
        <v>06</v>
      </c>
      <c r="F9" t="str">
        <f>+MID(Hoja2!F30,4,20)</f>
        <v>DOCE DE OCTUBRE</v>
      </c>
      <c r="G9" t="str">
        <f>+Hoja2!G30</f>
        <v>-	Realización de actividades preventivas contra el hurto y violencias asociadas a NNAJ.
-	Se realiza campaña pedagógica fortaleciendo el autocuidado y prevención de la violencia contra la mujer.
-	Se participa en el taller de imaginarios con la intervención preventiva de seguridad para prever acciones acerca de violencia sexual contra la mujer.
-	El 7 de octubre se realiza reunión presencial para brindar rutas de atención a un caso ciudadano por extorsión asociada a la Policía del Doce de Octubre.
-	Campaña pedagógica sobre la prevención del uso, vinculación instrumentalización y/o reclutamiento de NNAJ.
-	El 9 de octubre se realiza socialización de rutas de atención y denuncia con la comunidad en general para prevenir las extorsiones, hurtos e instrumentalización de menores de edad.</v>
      </c>
      <c r="H9" t="str">
        <f>+Hoja2!H30</f>
        <v xml:space="preserve">-	Realización de actividades preventivas contra el hurto y violencias asociadas a NNAJ aproximadamente 100 personas el 5 de octubre.
-	Se realiza campaña pedagógica fortaleciendo el autocuidado y prevención de la violencia contra la mujer con aproximadamente 50 personas el 6 de octubre.
-	Se participa en el taller de imaginarios con la intervención preventiva de seguridad para prever acciones acerca de violencia sexual contra la mujer con aproximadamente 80 personas.
-	El 7 de octubre se realiza reunión presencial para brindar rutas de atención a un caso ciudadano por extorsión asociada a la Policía del Doce de Octubre.
-	Campaña pedagógica sobre la prevención del uso, vinculación instrumentalización y/o reclutamiento de NNAJ, se impacta alrededor de 300 personas.
</v>
      </c>
    </row>
    <row r="10" spans="1:8" x14ac:dyDescent="0.2">
      <c r="A10">
        <f>+Hoja2!A31</f>
        <v>203905</v>
      </c>
      <c r="B10" s="8">
        <f>+Hoja2!B10</f>
        <v>44484</v>
      </c>
      <c r="C10">
        <f>+VLOOKUP(D10,DepMaster!$B:$C,2,FALSE)</f>
        <v>732</v>
      </c>
      <c r="D10" t="str">
        <f>+Hoja2!C31</f>
        <v>Secretaría de Seguridad y Convivencia</v>
      </c>
      <c r="E10" s="10" t="str">
        <f>+MID(Hoja2!F31,1,2)</f>
        <v>07</v>
      </c>
      <c r="F10" t="str">
        <f>+MID(Hoja2!F31,4,20)</f>
        <v>ROBLEDO</v>
      </c>
      <c r="G10" t="str">
        <f>+Hoja2!G31</f>
        <v xml:space="preserve">-	Continuidad del frente de seguridad con los comerciantes de San Germán sector Tierra Firme.
-	El 6 de octubre en la Institución Educativa  Santa Margarita, se realizó Consejo de Convivencia Ciudadana con las diferentes dependencias: Inspección, Comandante Ponal, Gestor de seguridad, Secretaría de Gobierno, Subsecretaría de Derechos Humanos, Secretaria de la Juventud ,psicóloga institución de Entornos Protectores , Subsecretaría de la Mujer  Secretaria de Educación, Gestor  de Seguridad y Promotor Local de Gobierno, con el fin de promover acciones que mitiguen los problemas de seguridad y Convivencia al rededor del entorno escolar. 
-	El 08 de octubre en el en el sector San Germán, se realizó una Jornada pedagógica de sensibilización a la comunidad y especialmente a comerciantes y comensales sobre el uso adecuado del espacio público para mitigar el comportamiento contrario a la convivencia como el mal parqueo de vehículos. 
-	El 7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realizaron mediciones de ruido de forma pedagogía con el ingeniero de sonido del programa.
</v>
      </c>
      <c r="H10" t="str">
        <f>+Hoja2!H31</f>
        <v xml:space="preserve">-	El 6 de octubre en la Institución Educativa  Santa Margarita, se realizó Consejo de Convivencia Ciudadana con las diferentes dependencias: Inspección, Comandante Ponal, Gestor de seguridad, Secretaría de Gobierno, Subsecretaría de Derechos Humanos, Secretaria de la Juventud ,psicóloga institución de Entornos Protectores , Subsecretaría de la Mujer  Secretaria de Educación, Gestor  de Seguridad y Promotor Local de Gobierno, con el fin de promover acciones que mitiguen los problemas de seguridad y Convivencia al rededor del entorno escolar. Participantes 18 personas.
-	El 08 de octubre en el en el sector San Germán, se realizó una Jornada pedagógica de sensibilización a la comunidad y especialmente a comerciantes y comensales sobre el uso adecuado del espacio público para mitigar el comportamiento contrario a la convivencia como el mal parqueo de vehículos. Personas impactadas: 30. 
-	El 7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realizaron mediciones de ruido de forma pedagogía con el ingeniero de sonido del programa. Se visitaron 5 establecimientos de comercio.
</v>
      </c>
    </row>
    <row r="11" spans="1:8" x14ac:dyDescent="0.2">
      <c r="A11">
        <f>+Hoja2!A32</f>
        <v>203905</v>
      </c>
      <c r="B11" s="8">
        <f>+Hoja2!B11</f>
        <v>44484</v>
      </c>
      <c r="C11">
        <f>+VLOOKUP(D11,DepMaster!$B:$C,2,FALSE)</f>
        <v>732</v>
      </c>
      <c r="D11" t="str">
        <f>+Hoja2!C32</f>
        <v>Secretaría de Seguridad y Convivencia</v>
      </c>
      <c r="E11" s="10" t="str">
        <f>+MID(Hoja2!F32,1,2)</f>
        <v>08</v>
      </c>
      <c r="F11" t="str">
        <f>+MID(Hoja2!F32,4,20)</f>
        <v>VILLA HERMOSA</v>
      </c>
      <c r="G11" t="str">
        <f>+Hoja2!G32</f>
        <v xml:space="preserve">-	El 8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v>
      </c>
      <c r="H11" t="str">
        <f>+Hoja2!H32</f>
        <v>-	El 8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Se Visitaron 6 establecimientos de comercio.</v>
      </c>
    </row>
    <row r="12" spans="1:8" x14ac:dyDescent="0.2">
      <c r="A12">
        <f>+Hoja2!A33</f>
        <v>203905</v>
      </c>
      <c r="B12" s="8">
        <f>+Hoja2!B12</f>
        <v>44484</v>
      </c>
      <c r="C12">
        <f>+VLOOKUP(D12,DepMaster!$B:$C,2,FALSE)</f>
        <v>732</v>
      </c>
      <c r="D12" t="str">
        <f>+Hoja2!C33</f>
        <v>Secretaría de Seguridad y Convivencia</v>
      </c>
      <c r="E12" s="10" t="str">
        <f>+MID(Hoja2!F33,1,2)</f>
        <v>09</v>
      </c>
      <c r="F12" t="str">
        <f>+MID(Hoja2!F33,4,20)</f>
        <v>BUENOS AIRES</v>
      </c>
      <c r="G12" t="str">
        <f>+Hoja2!G33</f>
        <v xml:space="preserve">-	Se realizaron sensibilizaciones pedagógicas y socialización del aprovechamiento económico en el sector de Ayacucho.
-	Jornada de limpieza en el sector de la calle 35 con carrera 16, con el fin de recuperar el espacio público que está siendo usado para consumo de estupefacientes el día 2 de octubre.
-	El 5 de octubre se realizó taller dirigido a las madres de familia de los alumnos del Hogar Infantil "Los Caunces", en derecho a una vida libre de violencias, explicando los tipos de violencias con ejemplos respectivos y las rutas de atención. Además, se socializó información de jornada de valoración nutricional a niños y niñas en la ciudad de Medellín. 
-	Reunión mensual el 6 de octubre con los funcionarios de las diferentes entidades de la Administración Municipal para definir próximas intervenciones en el territorio.
-	El 7 de octubre realizamos recorrido de campo para caracterización económica de los barrios de influencia directa de los Metrocables y Tranvía (Comunas 8 y 9). (
-	El 8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v>
      </c>
      <c r="H12" t="str">
        <f>+Hoja2!H33</f>
        <v xml:space="preserve">-	Se realizaron 23 sensibilizaciones pedagógicas y socialización del aprovechamiento económico en el sector de Ayacucho.
-	Jornada de limpieza en el sector de la calle 35 con carrera 16, con el fin de recuperar el espacio público que está siendo usado para consumo de estupefacientes el día 2 de octubre (Participan 25 personas entre comunidad y funcionarios).
-	El 5 de octubre se realizó taller dirigido a las madres de familia de los alumnos del Hogar Infantil "Los Caunces", en derecho a una vida libre de violencias, explicando los tipos de violencias con ejemplos respectivos y las rutas de atención. Además, se socializó información de jornada de valoración nutricional a niños y niñas en la ciudad de Medellín. (Participan 13 madres, 1 funcionaria de Secretaría de la Mujer y Gestora Territorial de Seguridad Comuna 9).
-	Reunión mensual el 6 de octubre con los funcionarios de las diferentes entidades de la Administración Municipal para definir próximas intervenciones en el territorio participaron 22 funcionarios de las diversas entidades de la Alcaldía de Medellín.
-	El 7 de octubre realizamos recorrido de campo para caracterización económica de los barrios de influencia directa de los Metrocables y Tranvía (Comunas 8 y 9). (Participan practicante de planeación territorial, promotor comuna 8, promotor comuna 9 y Gestora Territorial de Seguridad Comuna 9).
-	El 8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Se Visitaron 6 establecimientos de comercio.
</v>
      </c>
    </row>
    <row r="13" spans="1:8" x14ac:dyDescent="0.2">
      <c r="A13">
        <f>+Hoja2!A34</f>
        <v>203905</v>
      </c>
      <c r="B13" s="8">
        <f>+Hoja2!B13</f>
        <v>44484</v>
      </c>
      <c r="C13">
        <f>+VLOOKUP(D13,DepMaster!$B:$C,2,FALSE)</f>
        <v>732</v>
      </c>
      <c r="D13" t="str">
        <f>+Hoja2!C34</f>
        <v>Secretaría de Seguridad y Convivencia</v>
      </c>
      <c r="E13" s="10" t="str">
        <f>+MID(Hoja2!F34,1,2)</f>
        <v>10</v>
      </c>
      <c r="F13" t="str">
        <f>+MID(Hoja2!F34,4,20)</f>
        <v>LA CANDELARIA</v>
      </c>
      <c r="G13" t="str">
        <f>+Hoja2!G34</f>
        <v xml:space="preserve">-	El 6 de octubre en los  barrios Bomboná 1, Las Palmas, San Diego se realizó Consejo de Convivencia Ciudadana, para crear acuerdos de Convivencia y Seguridad Ciudadana. Este compromiso fue adquirido en el Comité Local de Gobierno. Acompañaron esta actividad, la Inspección 10b y 10d, Emvarias, Comandante Ponal, Secretaría de Gobierno, Subsecretaría de Espacio Público, Policía Preci, Gestora de Seguridad y Promotor Local de Gobierno. 
-	El 7 de octubre en sector de Guayaquil - edificio Vásquez, se llevó a cabo el acompañamiento en la Mesa Estratégica del centro, donde se informa la gestión que hace el Promotor Local de Gobierno en el tema de mala destinación de residuos y uso indebido del espacio público. 
-	El 8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	Se avanza en  plan de supervisión del contrato 4600091659 de 2021 - Presupuesto Participativo con  la Empresa Metroparques para la ejecución de los recursos de PL y PP 2.021. Inversión $2.604.762.199, correspondiente a las comunas: 1-Popular, 04 Aranjuez, 10 La Candelaria, y 80 Corregimiento de San Antonio de Prado. (Pendiente la firma del acta de inicio)
</v>
      </c>
      <c r="H13" t="str">
        <f>+Hoja2!H34</f>
        <v xml:space="preserve">-	El 6 de octubre en los  barrios Bomboná 1, Las Palmas, San Diego se realizó Consejo de Convivencia Ciudadana, para crear acuerdos de Convivencia y Seguridad Ciudadana. Este compromiso fue adquirido en el Comité Local de Gobierno. Acompañaron esta actividad, la Inspección 10b y 10d, Emvarias, Comandante Ponal, Secretaría de Gobierno, Subsecretaría de Espacio Público, Policía Preci, Gestora de Seguridad y Promotor Local de Gobierno. Participaron 15 personas.
-	El 7 de octubre en sector de Guayaquil - edificio Vásquez, se llevó a cabo el acompañamiento en la Mesa Estratégica del centro, donde se informa la gestión que hace el Promotor Local de Gobierno en el tema de mala destinación de residuos y uso indebido del espacio público. Se impactan 35 personas.
-	El 8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Se Visitaron 6 establecimientos de comercio.
</v>
      </c>
    </row>
    <row r="14" spans="1:8" x14ac:dyDescent="0.2">
      <c r="A14">
        <f>+Hoja2!A35</f>
        <v>203905</v>
      </c>
      <c r="B14" s="8">
        <f>+Hoja2!B14</f>
        <v>44484</v>
      </c>
      <c r="C14">
        <f>+VLOOKUP(D14,DepMaster!$B:$C,2,FALSE)</f>
        <v>732</v>
      </c>
      <c r="D14" t="str">
        <f>+Hoja2!C35</f>
        <v>Secretaría de Seguridad y Convivencia</v>
      </c>
      <c r="E14" s="10" t="str">
        <f>+MID(Hoja2!F35,1,2)</f>
        <v>11</v>
      </c>
      <c r="F14" t="str">
        <f>+MID(Hoja2!F35,4,20)</f>
        <v>LAURELES</v>
      </c>
      <c r="G14" t="str">
        <f>+Hoja2!G35</f>
        <v xml:space="preserve">-	Implementación de la campaña auditiva de la jurisdicción "seguro te aseguras" con el fin de brindar recomendaciones que permita prevenir situaciones de vulnerabilidad ante un hurto a vehículos
-	Fortalecimiento de Frentes de Seguridad mediante la creación de redes de apoyo contra el hurto a personas.
-	Reunión zona 4 para lograr dar a conocer la importancia del trabajo territorial por medio de la citación de la subsecretaria operativa encargada.
-	Recorrido interinstitucional para mitigar la problemática de seguridad y convivencia reportada por la comunidad por medio de los organismos de control y justicia en el sector del velódromo.
-	Comité con instituciones educativas privadas y públicas de la comuna 11 junto al jefe de núcleo para realizar articulación con las entidades educativas del sector público y privado, con el fin de contribuir con la seguridad de la comuna por medio de la prevención a NNAJ.
-	Encuentro comunitario de procesos de seguridad para dar a conocer el proceso llevado a cabo con casos específicos reportados relacionados a seguridad durante la iniciación de las labores de dicha comuna. Asimismo, identificar nuevas problemáticas de seguridad para lograr intervenir a solicitud de la comunidad.
-	Reunión con líder comunitaria para dar a conocer el proceso llevado a cabo con casos específicos reportados relacionados a seguridad durante la iniciación de las labores de dicha comuna. Asimismo, identificar nuevas problemáticas de seguridad para lograr intervenir
-	Implementación de puestos de control, con el fin de mitigar problemáticas de seguridad y como acto preventivo de casos de hurto. Además, permite generar control y regulación a la norma. 
-	"Evita ser cómplice del silencio" Campañas Informativa que permita motivar a la denuncia y prevenir el consumo y venta de estupefacientes.
-	Capacitación a presidentes de las JACS de la comuna 11 frente los procesos de seguridad.
-	El 5 de octubre en el barrio Velódromo se realizó acercamiento comunitario, para mitigar los comportamientos contrarios a la convivencia, tales como exhibicionismo y actos sexuales en vía pública, ruido y perturbación a la tranquilidad ciudadana. Se adquiere compromiso de trabajo entre la comunidad residente y la comunidad LGTBI en articulación con la Gerencia de Diversidad, Secretaria de Inclusión Social y la Unidad de Convivencia.  
-	El 7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realizaron mediciones de ruido de forma pedagogía con el ingeniero de sonido del programa. 
-	Se visitó la Av 33 entre carreras 76 y 78, con el propósito de verificar el horario de cierre de los establecimientos de comercio que no pertenecen al programa Medellín Convive la Noche, el cual está establecido en el sector hasta las 2:00 am ya que se trata de un corredor de alta mixtura. 
</v>
      </c>
      <c r="H14" t="str">
        <f>+Hoja2!H35</f>
        <v xml:space="preserve">-	El 5 de octubre en el barrio Velódromo se realizó acercamiento comunitario, para mitigar los comportamientos contrarios a la convivencia, tales como exhibicionismo y actos sexuales en vía pública, ruido y perturbación a la tranquilidad ciudadana. Se adquiere compromiso de trabajo entre la comunidad residente y la comunidad LGTBI en articulación con la Gerencia de Diversidad, Secretaria de Inclusión Social y la Unidad de Convivencia. Participantes 15 personas  
-	El 7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Adicional a lo anterior se realizaron mediciones de ruido de forma pedagogía con el ingeniero de sonido del programa. Se visitaron 5 establecimientos de comercio.
-	Se visitó la Av 33 entre carreras 76 y 78, con el propósito de verificar el horario de cierre de los establecimientos de comercio que no pertenecen al programa Medellín Convive la Noche, el cual está establecido en el sector hasta las 2:00 am ya que se trata de un corredor de alta mixtura. Se visitan 11 establecimientos de comercio de los cuales 1 quebrantó el horario permitió y por parte de la inspección de Permanencia, se procedió a citar a audiencia. 
</v>
      </c>
    </row>
    <row r="15" spans="1:8" x14ac:dyDescent="0.2">
      <c r="A15">
        <f>+Hoja2!A36</f>
        <v>203905</v>
      </c>
      <c r="B15" s="8">
        <f>+Hoja2!B15</f>
        <v>44484</v>
      </c>
      <c r="C15">
        <f>+VLOOKUP(D15,DepMaster!$B:$C,2,FALSE)</f>
        <v>732</v>
      </c>
      <c r="D15" t="str">
        <f>+Hoja2!C36</f>
        <v>Secretaría de Seguridad y Convivencia</v>
      </c>
      <c r="E15" s="10" t="str">
        <f>+MID(Hoja2!F36,1,2)</f>
        <v>12</v>
      </c>
      <c r="F15" t="str">
        <f>+MID(Hoja2!F36,4,20)</f>
        <v>LA AMERICA</v>
      </c>
      <c r="G15" t="str">
        <f>+Hoja2!G36</f>
        <v xml:space="preserve">-	La jornada de descongestión que se viene desarrollando en la Inspección 13 de Policía, al 30 de septiembre de 2021. 
-	En la noche del domingo 10 de octubre de 2021, personal de la Unidad de Convivencia Ciudadana (Promotor Local de Gobierno, Convive la Noche y Analistas de Convivencia) en compañía de Subsecretario de Gobierno Local y Convivencia, hace presencia en el conjunto residencial Torres de Marcella ubicada en la Comuna 13 (San Javier), según compromisos adquiridos en el anterior Consejo de Convivencia Ciudadana en el que se manifestó perturbación a la tranquilidad y al descanso por excesos de ruido generados desde el conjunto residencial Mirador de Calazans.
-	Se realiza visita a un apartamento residencial en el conjunto Marsella con el propósito de valorar preventivamente la afectación del ruido de inmisión y contrastar los resultados obtenidos con los límites máximos permitidos en la resolución 8321 de 1983. Posteriormente, se procede a desplazar al al conjunto residencial Mirador de Calazans y entablar contacto con los dueños de las “Chasas” donde se reproduce música y se expende licor. En este lugar se realiza sensibilización sobre el impacto de los altos niveles de ruido y se asesora a los comerciantes a darle un buen manejo al volumen de la música.
</v>
      </c>
      <c r="H15" t="str">
        <f>+Hoja2!H36</f>
        <v>-	La jornada de descongestión que se viene desarrollando en la Inspección 13 de Policía, al 30 de septiembre de 2021 se han evacuado 330 procesos de 2014-2019 logrando una descongestión del 48.3%.</v>
      </c>
    </row>
    <row r="16" spans="1:8" x14ac:dyDescent="0.2">
      <c r="A16">
        <f>+Hoja2!A37</f>
        <v>203905</v>
      </c>
      <c r="B16" s="8">
        <f>+Hoja2!B16</f>
        <v>44484</v>
      </c>
      <c r="C16">
        <f>+VLOOKUP(D16,DepMaster!$B:$C,2,FALSE)</f>
        <v>732</v>
      </c>
      <c r="D16" t="str">
        <f>+Hoja2!C37</f>
        <v>Secretaría de Seguridad y Convivencia</v>
      </c>
      <c r="E16" s="10" t="str">
        <f>+MID(Hoja2!F37,1,2)</f>
        <v>14</v>
      </c>
      <c r="F16" t="str">
        <f>+MID(Hoja2!F37,4,20)</f>
        <v>EL POBLADO</v>
      </c>
      <c r="G16" t="str">
        <f>+Hoja2!G37</f>
        <v xml:space="preserve">-	Se apoya el día viernes 8 de octubre el PMU Lleras y Provenza, donde se tuvo la visita del Personero Municipal, con el señor personero se realizó recorrido por Provenza y Lleras.
-	El 8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v>
      </c>
      <c r="H16" t="str">
        <f>+Hoja2!H37</f>
        <v xml:space="preserve">-	Se apoya el día viernes 8 de octubre el PMU Lleras y Provenza, donde se tuvo la visita del Personero Municipal, con el señor personero se realizó recorrido por Provenza y Lleras visitando tres establecimientos.
-	El 8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Se Visitaron 6 establecimientos de comercio.
</v>
      </c>
    </row>
    <row r="17" spans="1:8" x14ac:dyDescent="0.2">
      <c r="A17">
        <f>+Hoja2!A38</f>
        <v>203905</v>
      </c>
      <c r="B17" s="8">
        <f>+Hoja2!B17</f>
        <v>44484</v>
      </c>
      <c r="C17">
        <f>+VLOOKUP(D17,DepMaster!$B:$C,2,FALSE)</f>
        <v>732</v>
      </c>
      <c r="D17" t="str">
        <f>+Hoja2!C38</f>
        <v>Secretaría de Seguridad y Convivencia</v>
      </c>
      <c r="E17" s="10" t="str">
        <f>+MID(Hoja2!F38,1,2)</f>
        <v>15</v>
      </c>
      <c r="F17" t="str">
        <f>+MID(Hoja2!F38,4,20)</f>
        <v>GUAYABAL</v>
      </c>
      <c r="G17" t="str">
        <f>+Hoja2!G38</f>
        <v>-	El viernes 8 de octubre se realizó un operativo integral de recuperación de la carrera 65 que estaba afectada por residuos, en articulación con Emvarias, Medio Ambiente y Policía.</v>
      </c>
      <c r="H17">
        <f>+Hoja2!H38</f>
        <v>0</v>
      </c>
    </row>
    <row r="18" spans="1:8" x14ac:dyDescent="0.2">
      <c r="A18">
        <f>+Hoja2!A39</f>
        <v>203905</v>
      </c>
      <c r="B18" s="8">
        <f>+Hoja2!B18</f>
        <v>44484</v>
      </c>
      <c r="C18">
        <f>+VLOOKUP(D18,DepMaster!$B:$C,2,FALSE)</f>
        <v>732</v>
      </c>
      <c r="D18" t="str">
        <f>+Hoja2!C39</f>
        <v>Secretaría de Seguridad y Convivencia</v>
      </c>
      <c r="E18" s="10" t="str">
        <f>+MID(Hoja2!F39,1,2)</f>
        <v>16</v>
      </c>
      <c r="F18" t="str">
        <f>+MID(Hoja2!F39,4,20)</f>
        <v>BELEN</v>
      </c>
      <c r="G18" t="str">
        <f>+Hoja2!G39</f>
        <v xml:space="preserve">-   Plan Cambuches en diferentes sectores 
-	En trabajo conjunto con el Comité cívico de la Loma de Los Bernal, la subsecretaria operativa capacitó vigilantes que trabajan en las unidades residenciales de La loma en Ley 1801, prevención de hurto y extorsión. Con apoyo del Gaula y Red de apoyo de la Ponal. 
-	Reunión de articulación y socialización con los ediles de la JAL quienes han expresado preocupación por el aumento de hurtos y el aumento de ventas ambulantes por parte de migrantes venezolanos. Les socializamos el PISCC, el plan anual de seguridad y el plan de acción, así como los últimos indicadores del SISC. 
-	Fortalecimiento de la Mesa de DDHH de la comuna a través de un taller en el cual se socializaron los principales problemas de seguridad el plan local de seguridad y los principales indicadores del SISC.
-	El 8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v>
      </c>
      <c r="H18" t="str">
        <f>+Hoja2!H39</f>
        <v xml:space="preserve">-	Durante el recorrido del Plan Cambuches en diferentes sectores se logró la sensibilización a 26 personas, se desmontaron 13 cambuches y el traslado de 45 elementos por parte de nuestro personal operativo.
-	En trabajo conjunto con el Comité cívico de la Loma de Los Bernal, la subsecretaria operativa capacitó a 120 vigilantes que trabajan en las unidades residenciales de La loma en Ley 1801, prevención de hurto y extorsión. Con apoyo del Gaula y Red de apoyo de la Ponal. 
-	El 8 de octubre, el equipo del programa Medellín Convive la Noche visitó establecimientos con actividad económica "venta y consumo de licor” que buscan ingresar al programa. En estas visitas se sensibiliza a los comerciantes con estrategia "Parche Seguro" la cual busca incentivar a los propietarios de los establecimientos a las buenas prácticas de autocuidado y legalidad en el marco de la reactivación económica y se verifica documentación (Ley 1801 de 2016). Se Visitaron 6 establecimientos de comercio.
</v>
      </c>
    </row>
    <row r="19" spans="1:8" x14ac:dyDescent="0.2">
      <c r="A19">
        <f>+Hoja2!A40</f>
        <v>203905</v>
      </c>
      <c r="B19" s="8">
        <f>+Hoja2!B19</f>
        <v>44484</v>
      </c>
      <c r="C19">
        <f>+VLOOKUP(D19,DepMaster!$B:$C,2,FALSE)</f>
        <v>732</v>
      </c>
      <c r="D19" t="str">
        <f>+Hoja2!C40</f>
        <v>Secretaría de Seguridad y Convivencia</v>
      </c>
      <c r="E19" s="10" t="str">
        <f>+MID(Hoja2!F40,1,2)</f>
        <v>50</v>
      </c>
      <c r="F19" t="str">
        <f>+MID(Hoja2!F40,4,20)</f>
        <v>PALMITAS</v>
      </c>
      <c r="G19" t="str">
        <f>+Hoja2!G40</f>
        <v xml:space="preserve">-	Se realiza encuentro con el colectivo de mujeres de la vereda La Sucia, en el cual se realiza taller sobre Violencia a NNAJ y VIF.
-	El 8 de octubre en la vereda la sucia, se realiza socialización de Código Nacional de Seguridad y Convivencia, es un llamado al cumplimiento de la norma y el compromiso ciudadano para la construcción de la convivencia.  
</v>
      </c>
      <c r="H19" t="str">
        <f>+Hoja2!H40</f>
        <v>-	El 8 de octubre en la vereda la sucia, se realiza socialización de Código Nacional de Seguridad y Convivencia, es un llamado al cumplimiento de la norma y el compromiso ciudadano para la construcción de la convivencia.</v>
      </c>
    </row>
    <row r="20" spans="1:8" x14ac:dyDescent="0.2">
      <c r="A20">
        <f>+Hoja2!A41</f>
        <v>203905</v>
      </c>
      <c r="B20" s="8">
        <f>+Hoja2!B20</f>
        <v>44484</v>
      </c>
      <c r="C20">
        <f>+VLOOKUP(D20,DepMaster!$B:$C,2,FALSE)</f>
        <v>732</v>
      </c>
      <c r="D20" t="str">
        <f>+Hoja2!C41</f>
        <v>Secretaría de Seguridad y Convivencia</v>
      </c>
      <c r="E20" s="10" t="str">
        <f>+MID(Hoja2!F41,1,2)</f>
        <v>60</v>
      </c>
      <c r="F20" t="str">
        <f>+MID(Hoja2!F41,4,20)</f>
        <v>SAN CRISTOBAL</v>
      </c>
      <c r="G20" t="str">
        <f>+Hoja2!G41</f>
        <v xml:space="preserve">-	Se realizan acciones en el territorio contempladas en el plan de acción – PATS.
-	En articulación con la secretaria de espacio público y promotor local de gobierno de nuevo Occidente se logró despejar la vía de acceso a la Institución Educativa Santa Margarita, la cual venía siendo ocupada por un comerciante de verduras y frutas que con su vehículo ocupaba parte de la vía y con las canastas el paso peatonal, generando un peligro para el paso de los estudiantes y transeúntes del lugar. Dicha acción había sido un clamor de las directivas de la Institución Santa Margarita.
-	Se llevó a cabo reunión de la mesa Interinstitucional en la cual se escuchó a los presidentes de 8 JAC. Con respecto a sus problemáticas de seguridad.
-	El 5 de octubre en la Vereda El Llano, se realizó campaña pedagógica sobre la prevención a la violencia intrafamiliar, las riñas y demás expresiones de violencia que ponen en riesgo la vida. Generamos una reflexión sobre el respeto y la tolerancia e invitamos a usar los canales de denuncia necesarios para proteger la vida. 
-	El 7 de octubre en el sector El Hueco, de la vereda La Loma, se sensibiliza a la comunidad sobre los riesgos que implican las infracciones urbanísticas, las estafas inmobiliarias y la necesidad de cumplir con la norma  respetando  el Código Nacional de Seguridad y Convivencia en su artículo 135. Igualmente, en compañía del gestor de seguridad, realizamos campaña de prevención a la extorsión. 
-	Comuna Nuevo Occidente: el 5 de octubre en la unidad residencial el tirón de Ciudadela Nuevo Occidente, se realizó socialización de código nacional de seguridad y convivencia, es un llamado al cumplimiento de la norma y el compromiso ciudadano para la construcción de la convivencia. 
</v>
      </c>
      <c r="H20" t="str">
        <f>+Hoja2!H41</f>
        <v xml:space="preserve">-	El 7 de octubre en el sector El Hueco, de la vereda La Loma, se sensibiliza a la comunidad sobre los riesgos que implican las infracciones urbanísticas, las estafas inmobiliarias y la necesidad de cumplir con la norma  respetando  el Código Nacional de Seguridad y Convivencia en su artículo 135. Igualmente, en compañía del gestor de seguridad, realizamos campaña de prevención a la extorsión. Personas Impactadas 60.
-	Comuna Nuevo Occidente: el 5 de octubre en la unidad residencial el tirón de Ciudadela Nuevo Occidente, se realizó socialización de código nacional de seguridad y convivencia, es un llamado al cumplimiento de la norma y el compromiso ciudadano para la construcción de la convivencia. Personas impactadas: 20
</v>
      </c>
    </row>
    <row r="21" spans="1:8" x14ac:dyDescent="0.2">
      <c r="A21">
        <f>+Hoja2!A42</f>
        <v>203905</v>
      </c>
      <c r="B21" s="8">
        <f>+Hoja2!B21</f>
        <v>44484</v>
      </c>
      <c r="C21">
        <f>+VLOOKUP(D21,DepMaster!$B:$C,2,FALSE)</f>
        <v>732</v>
      </c>
      <c r="D21" t="str">
        <f>+Hoja2!C42</f>
        <v>Secretaría de Seguridad y Convivencia</v>
      </c>
      <c r="E21" s="10" t="str">
        <f>+MID(Hoja2!F42,1,2)</f>
        <v>70</v>
      </c>
      <c r="F21" t="str">
        <f>+MID(Hoja2!F42,4,20)</f>
        <v>ALTAVISTA</v>
      </c>
      <c r="G21" t="str">
        <f>+Hoja2!G42</f>
        <v>-	Actividad articulada con el C y 2 y los Escuchaderos en el sector de Morro Corazón, enfocada a rutas de denuncia, Prevención de uso e instrumentaliza uno de menores el miércoles 6 de octubre.</v>
      </c>
      <c r="H21">
        <f>+Hoja2!H42</f>
        <v>0</v>
      </c>
    </row>
    <row r="22" spans="1:8" x14ac:dyDescent="0.2">
      <c r="A22">
        <f>+Hoja2!A43</f>
        <v>203905</v>
      </c>
      <c r="B22" s="8">
        <f>+Hoja2!B22</f>
        <v>44484</v>
      </c>
      <c r="C22">
        <f>+VLOOKUP(D22,DepMaster!$B:$C,2,FALSE)</f>
        <v>732</v>
      </c>
      <c r="D22" t="str">
        <f>+Hoja2!C43</f>
        <v>Secretaría de Seguridad y Convivencia</v>
      </c>
      <c r="E22" s="10" t="str">
        <f>+MID(Hoja2!F43,1,2)</f>
        <v>80</v>
      </c>
      <c r="F22" t="str">
        <f>+MID(Hoja2!F43,4,20)</f>
        <v>SAN ANTONIO DE PRADO</v>
      </c>
      <c r="G22" t="str">
        <f>+Hoja2!G43</f>
        <v xml:space="preserve">-	El 5 de octubre en la urbanización Avellana en cumplimiento a compromisos con la comunidad se realizó el segundo encuentro con líderes, para promover la convivencia ciudadana ante conflictos entre ellas. Se presenta acuerdos de conciliación y la propuesta de activación de jornadas pedagógicas en este territorio. 
-	Se avanza en  plan de supervisión del contrato 4600091659 de 2021 - Presupuesto Participativo con  la Empresa Metroparques para la ejecución de los recursos de PL y PP 2.021. Inversión $2.604.762.199, correspondiente a las comunas: 1-Popular, 04 Aranjuez, 10 La Candelaria, y 80 Corregimiento de San Antonio de Prado. (Pendiente la firma del acta de inicio)
</v>
      </c>
      <c r="H22" t="str">
        <f>+Hoja2!H43</f>
        <v>-	El 5 de octubre en la urbanización Avellana en cumplimiento a compromisos con la comunidad se realizó el segundo encuentro con líderes, para promover la convivencia ciudadana ante conflictos entre ellas. Se presenta acuerdos de conciliación y la propuesta de activación de jornadas pedagógicas en este territorio. Participaron 6 personas.</v>
      </c>
    </row>
    <row r="23" spans="1:8" x14ac:dyDescent="0.2">
      <c r="A23">
        <f>+Hoja2!A44</f>
        <v>203905</v>
      </c>
      <c r="B23" s="8">
        <f>+Hoja2!B23</f>
        <v>44484</v>
      </c>
      <c r="C23">
        <f>+VLOOKUP(D23,DepMaster!$B:$C,2,FALSE)</f>
        <v>732</v>
      </c>
      <c r="D23" t="str">
        <f>+Hoja2!C44</f>
        <v>Secretaría de Seguridad y Convivencia</v>
      </c>
      <c r="E23" s="10" t="str">
        <f>+MID(Hoja2!F44,1,2)</f>
        <v>90</v>
      </c>
      <c r="F23" t="str">
        <f>+MID(Hoja2!F44,4,20)</f>
        <v>SANTA ELENA</v>
      </c>
      <c r="G23" t="str">
        <f>+Hoja2!G44</f>
        <v xml:space="preserve">-	Acercamiento con grupo de consumidores de estupefacientes para tratar temas de prevención y vincularlos a procesos comunitarios. 
-	Identificación de fundaciones que trabajan con NNAJ el 8 y 12 de octubre.
</v>
      </c>
      <c r="H23" t="str">
        <f>+Hoja2!H44</f>
        <v xml:space="preserve">-	Acercamiento con grupo de consumidores de estupefacientes para tratar temas de prevención y vincularlos a procesos comunitarios. (Primer acercamiento, 7 de octubre, total personas 12)
-	Identificación de fundaciones que trabajan con NNAJ, (3 fundaciones con 120 personas en total) 8 y 12 de octubre.
</v>
      </c>
    </row>
    <row r="24" spans="1:8" x14ac:dyDescent="0.2">
      <c r="A24">
        <f>+Hoja2!A45</f>
        <v>203928</v>
      </c>
      <c r="B24" s="8">
        <f>+Hoja2!B24</f>
        <v>44484</v>
      </c>
      <c r="C24">
        <f>+VLOOKUP(D24,DepMaster!$B:$C,2,FALSE)</f>
        <v>954</v>
      </c>
      <c r="D24" t="str">
        <f>+Hoja2!C45</f>
        <v>Gerencia de Etnias</v>
      </c>
      <c r="E24" s="10" t="str">
        <f>+MID(Hoja2!F45,1,2)</f>
        <v>01</v>
      </c>
      <c r="F24" t="str">
        <f>+MID(Hoja2!F45,4,20)</f>
        <v>POPULAR</v>
      </c>
      <c r="G24" t="str">
        <f>+Hoja2!G45</f>
        <v>N/A</v>
      </c>
      <c r="H24" t="str">
        <f>+Hoja2!H45</f>
        <v>N/A</v>
      </c>
    </row>
    <row r="25" spans="1:8" x14ac:dyDescent="0.2">
      <c r="A25">
        <f>+Hoja2!A46</f>
        <v>203937</v>
      </c>
      <c r="B25" s="8">
        <f>+Hoja2!B25</f>
        <v>44484</v>
      </c>
      <c r="C25">
        <f>+VLOOKUP(D25,DepMaster!$B:$C,2,FALSE)</f>
        <v>733</v>
      </c>
      <c r="D25" t="str">
        <f>+Hoja2!C46</f>
        <v>Departamento Administrativo de Gestión del Riesgo de Desastres</v>
      </c>
      <c r="E25" s="10" t="str">
        <f>+MID(Hoja2!F46,1,2)</f>
        <v>10</v>
      </c>
      <c r="F25" t="str">
        <f>+MID(Hoja2!F46,4,20)</f>
        <v>LA CANDELARIA</v>
      </c>
      <c r="G25" t="str">
        <f>+Hoja2!G46</f>
        <v xml:space="preserve">Con éxito se terminaron las actividades previstas para ejecutar en el seminario nacional donde se contó con la participación de 81.499 entre actividades previas y el ejercicio dispuesto para el 07 de octubre. 
</v>
      </c>
      <c r="H25" t="str">
        <f>+Hoja2!H46</f>
        <v>Todo el Municipio</v>
      </c>
    </row>
    <row r="26" spans="1:8" x14ac:dyDescent="0.2">
      <c r="A26">
        <f>+Hoja2!A47</f>
        <v>203937</v>
      </c>
      <c r="B26" s="8">
        <f>+Hoja2!B26</f>
        <v>44484</v>
      </c>
      <c r="C26">
        <f>+VLOOKUP(D26,DepMaster!$B:$C,2,FALSE)</f>
        <v>733</v>
      </c>
      <c r="D26" t="str">
        <f>+Hoja2!C47</f>
        <v>Departamento Administrativo de Gestión del Riesgo de Desastres</v>
      </c>
      <c r="E26" s="10" t="str">
        <f>+MID(Hoja2!F47,1,2)</f>
        <v>03</v>
      </c>
      <c r="F26" t="str">
        <f>+MID(Hoja2!F47,4,20)</f>
        <v>MANRIQUE</v>
      </c>
      <c r="G26" t="str">
        <f>+Hoja2!G47</f>
        <v>Articulación con instituciones educativas con el fin de proporcionar conocimiento en materia de GRD, de acuerdo a los ejes temáticos que tenemos definidos.
Participación en las mesas interinstitucionales.</v>
      </c>
      <c r="H26" t="str">
        <f>+Hoja2!H47</f>
        <v>Sin Dato</v>
      </c>
    </row>
    <row r="27" spans="1:8" x14ac:dyDescent="0.2">
      <c r="A27">
        <f>+Hoja2!A48</f>
        <v>203937</v>
      </c>
      <c r="B27" s="8">
        <f>+Hoja2!B27</f>
        <v>44484</v>
      </c>
      <c r="C27">
        <f>+VLOOKUP(D27,DepMaster!$B:$C,2,FALSE)</f>
        <v>733</v>
      </c>
      <c r="D27" t="str">
        <f>+Hoja2!C48</f>
        <v>Departamento Administrativo de Gestión del Riesgo de Desastres</v>
      </c>
      <c r="E27" s="10" t="str">
        <f>+MID(Hoja2!F48,1,2)</f>
        <v>09</v>
      </c>
      <c r="F27" t="str">
        <f>+MID(Hoja2!F48,4,20)</f>
        <v>BUENOS AIRES</v>
      </c>
      <c r="G27" t="str">
        <f>+Hoja2!G48</f>
        <v xml:space="preserve">"Articulación con JIBC con el fin de proporcionar conocimiento en materia de GRD, de acuerdo a los ejes temáticos que tenemos definidos.
Participación en las mesas interinstitucionales. </v>
      </c>
      <c r="H27" t="str">
        <f>+Hoja2!H48</f>
        <v>Sin dato</v>
      </c>
    </row>
    <row r="28" spans="1:8" x14ac:dyDescent="0.2">
      <c r="A28">
        <f>+Hoja2!A49</f>
        <v>203937</v>
      </c>
      <c r="B28" s="8">
        <f>+Hoja2!B28</f>
        <v>44484</v>
      </c>
      <c r="C28">
        <f>+VLOOKUP(D28,DepMaster!$B:$C,2,FALSE)</f>
        <v>733</v>
      </c>
      <c r="D28" t="str">
        <f>+Hoja2!C49</f>
        <v>Departamento Administrativo de Gestión del Riesgo de Desastres</v>
      </c>
      <c r="E28" s="10" t="str">
        <f>+MID(Hoja2!F49,1,2)</f>
        <v>11</v>
      </c>
      <c r="F28" t="str">
        <f>+MID(Hoja2!F49,4,20)</f>
        <v>LAURELES</v>
      </c>
      <c r="G28" t="str">
        <f>+Hoja2!G49</f>
        <v xml:space="preserve">Acompañamiento a la Cuarta Brigada con taller para el Marco de actuación en evacuación de instalaciones, esta capacitación se hizo en compañía del COBM y estuvo dirigida a más de 30 Oficiales y subuoficiales encargados de los temas relacionados con emergencias en cada uno de los cantones. </v>
      </c>
      <c r="H28" t="str">
        <f>+Hoja2!H49</f>
        <v>Sin dato</v>
      </c>
    </row>
    <row r="29" spans="1:8" x14ac:dyDescent="0.2">
      <c r="A29">
        <f>+Hoja2!A50</f>
        <v>203937</v>
      </c>
      <c r="B29" s="8">
        <f>+Hoja2!B29</f>
        <v>44484</v>
      </c>
      <c r="C29">
        <f>+VLOOKUP(D29,DepMaster!$B:$C,2,FALSE)</f>
        <v>733</v>
      </c>
      <c r="D29" t="str">
        <f>+Hoja2!C50</f>
        <v>Departamento Administrativo de Gestión del Riesgo de Desastres</v>
      </c>
      <c r="E29" s="10" t="str">
        <f>+MID(Hoja2!F50,1,2)</f>
        <v>70</v>
      </c>
      <c r="F29" t="str">
        <f>+MID(Hoja2!F50,4,20)</f>
        <v>ALTAVISTA</v>
      </c>
      <c r="G29" t="str">
        <f>+Hoja2!G50</f>
        <v>Articulación con JIBC con el fin de proporcionar conocimiento en materia de GRD, de acuerdo a los ejes temáticos que tenemos definidos
Participación en las mesas interinstitucionales. Comuna 70</v>
      </c>
      <c r="H29" t="str">
        <f>+Hoja2!H50</f>
        <v>Sin dato</v>
      </c>
    </row>
    <row r="30" spans="1:8" x14ac:dyDescent="0.2">
      <c r="A30">
        <f>+Hoja2!A51</f>
        <v>203937</v>
      </c>
      <c r="B30" s="8">
        <f>+Hoja2!B30</f>
        <v>44484</v>
      </c>
      <c r="C30">
        <f>+VLOOKUP(D30,DepMaster!$B:$C,2,FALSE)</f>
        <v>733</v>
      </c>
      <c r="D30" t="str">
        <f>+Hoja2!C51</f>
        <v>Departamento Administrativo de Gestión del Riesgo de Desastres</v>
      </c>
      <c r="E30" s="10" t="str">
        <f>+MID(Hoja2!F51,1,2)</f>
        <v>04</v>
      </c>
      <c r="F30" t="str">
        <f>+MID(Hoja2!F51,4,20)</f>
        <v>ARANJUEZ</v>
      </c>
      <c r="G30" t="str">
        <f>+Hoja2!G51</f>
        <v xml:space="preserve">Taller de evacuación, proyecto bello oriente. El cual será realizado mancomunadamente con inform@risk. Comuna 4
</v>
      </c>
      <c r="H30" t="str">
        <f>+Hoja2!H51</f>
        <v>Sin dato</v>
      </c>
    </row>
    <row r="31" spans="1:8" x14ac:dyDescent="0.2">
      <c r="A31">
        <f>+Hoja2!A52</f>
        <v>203939</v>
      </c>
      <c r="B31" s="8">
        <f>+Hoja2!B31</f>
        <v>44484</v>
      </c>
      <c r="C31">
        <f>+VLOOKUP(D31,DepMaster!$B:$C,2,FALSE)</f>
        <v>771</v>
      </c>
      <c r="D31" t="str">
        <f>+Hoja2!C52</f>
        <v>Gerencia del Centro</v>
      </c>
      <c r="E31" s="10" t="str">
        <f>+MID(Hoja2!F52,1,2)</f>
        <v>10</v>
      </c>
      <c r="F31" t="str">
        <f>+MID(Hoja2!F52,4,20)</f>
        <v>LA CANDELARIA</v>
      </c>
      <c r="G31" t="str">
        <f>+Hoja2!G52</f>
        <v>Presencia en Medios y Redes</v>
      </c>
      <c r="H31" t="str">
        <f>+Hoja2!H52</f>
        <v>publicaciones producidas y realizadas en la semana
•	Se emiten 5 microprogramas y un programa sobre el Territorio Creativo
•	Publicación en redes sociales Mesa del Territorio Comercial 
•	Publicación en redes sociales sobre Diálogos por un Centro ConSentido para el Territorio Histórico 
•	Publicación en redes sociales sobre Feria de Sapiencia #SiguienteNivel 
•	Realización de video sobre Diálogos por un Centro ConSentido para el Territorio Histórico 
•	Publicación en redes sociales de video sobre Diálogos por un Centro ConSentido para el Territorio Histórico 
•	Publicación en redes sociales sobre Mesa Estratégica Centro ConSentido 
•	Publicación en redes sociales de ecard sobre Diálogos por un Centro ConSentido para el Territorio Diverso 
•	Publicación en redes sociales de #FeriaDeServicios al Parque Biblioteca del barrio El 12 de Octubre 
•	Realización de video de invitación sobre Diálogos por un Centro ConSentido para el Territorio Diverso 
•	Publicación en redes sociales de video de invitación sobre Diálogos por un Centro ConSentido para el Territorio Diverso
Las publicaciones alcanzaron estas estadísticas en la última semana: 
•	Número de Publicaciones: 34 
•	Twitter 18.600 impresiones y 620 interacciones.
•	Instagram 6.800 impresiones y 57 acciones 
•	Facebook 187 personas alcanzadas y 49 interacciones. 
•	Presencia en medios de comunicación: Entrevista El Colombiano 12 Oct 2021 - Balance Abrazo a Plaza Botero</v>
      </c>
    </row>
    <row r="32" spans="1:8" x14ac:dyDescent="0.2">
      <c r="A32">
        <f>+Hoja2!A53</f>
        <v>203945</v>
      </c>
      <c r="B32" s="8">
        <f>+Hoja2!B32</f>
        <v>44484</v>
      </c>
      <c r="C32">
        <f>+VLOOKUP(D32,DepMaster!$B:$C,2,FALSE)</f>
        <v>721</v>
      </c>
      <c r="D32" t="str">
        <f>+Hoja2!C53</f>
        <v>Secretaría de Salud</v>
      </c>
      <c r="E32" s="10" t="str">
        <f>+MID(Hoja2!F53,1,2)</f>
        <v>01</v>
      </c>
      <c r="F32" t="str">
        <f>+MID(Hoja2!F53,4,20)</f>
        <v>POPULAR</v>
      </c>
      <c r="G32" t="str">
        <f>+Hoja2!G53</f>
        <v xml:space="preserve">
MMCS
Dimensión Vida Saludable: 115
Componente Salud Bucal: 51
Dimensión Salud Mental: 94
Dimensión Sexualidad, derechos sexuales y derechos reproductivos: 37
Dimensión Seguridad Alimentaria y Nutricional: 64
Dimensión Salud Ambiental: 21
</v>
      </c>
      <c r="H32" t="str">
        <f>+Hoja2!H53</f>
        <v>.</v>
      </c>
    </row>
    <row r="33" spans="1:8" x14ac:dyDescent="0.2">
      <c r="A33">
        <f>+Hoja2!A54</f>
        <v>203945</v>
      </c>
      <c r="B33" s="8">
        <f>+Hoja2!B33</f>
        <v>44484</v>
      </c>
      <c r="C33">
        <f>+VLOOKUP(D33,DepMaster!$B:$C,2,FALSE)</f>
        <v>721</v>
      </c>
      <c r="D33" t="str">
        <f>+Hoja2!C54</f>
        <v>Secretaría de Salud</v>
      </c>
      <c r="E33" s="10" t="str">
        <f>+MID(Hoja2!F54,1,2)</f>
        <v>02</v>
      </c>
      <c r="F33" t="str">
        <f>+MID(Hoja2!F54,4,20)</f>
        <v>SANTA CRUZ</v>
      </c>
      <c r="G33" t="str">
        <f>+Hoja2!G54</f>
        <v xml:space="preserve">Dimensión Vida Saludable: 100
Componente Salud Bucal: 165
Dimensión Salud Mental: 111
Dimensión Sexualidad, derechos sexuales y derechos reproductivos: 42
Dimensión Seguridad Alimentaria y Nutricional: 69
Dimensión Salud Ambiental: 50
</v>
      </c>
      <c r="H33" t="str">
        <f>+Hoja2!H54</f>
        <v>.</v>
      </c>
    </row>
    <row r="34" spans="1:8" x14ac:dyDescent="0.2">
      <c r="A34">
        <f>+Hoja2!A55</f>
        <v>203945</v>
      </c>
      <c r="B34" s="8">
        <f>+Hoja2!B34</f>
        <v>44484</v>
      </c>
      <c r="C34">
        <f>+VLOOKUP(D34,DepMaster!$B:$C,2,FALSE)</f>
        <v>721</v>
      </c>
      <c r="D34" t="str">
        <f>+Hoja2!C55</f>
        <v>Secretaría de Salud</v>
      </c>
      <c r="E34" s="10" t="str">
        <f>+MID(Hoja2!F55,1,2)</f>
        <v>03</v>
      </c>
      <c r="F34" t="str">
        <f>+MID(Hoja2!F55,4,20)</f>
        <v>MANRIQUE</v>
      </c>
      <c r="G34" t="str">
        <f>+Hoja2!G55</f>
        <v xml:space="preserve">MMCS
Dimensión Vida Saludable: 108
Componente Salud Bucal: 222
Dimensión Salud Mental: 130
Dimensión Sexualidad, derechos sexuales y derechos reproductivos: 21
Dimensión Seguridad Alimentaria y Nutricional: 159
Dimensión Salud Ambiental: 44
</v>
      </c>
      <c r="H34" t="str">
        <f>+Hoja2!H55</f>
        <v>.</v>
      </c>
    </row>
    <row r="35" spans="1:8" x14ac:dyDescent="0.2">
      <c r="A35">
        <f>+Hoja2!A56</f>
        <v>203945</v>
      </c>
      <c r="B35" s="8">
        <f>+Hoja2!B35</f>
        <v>44484</v>
      </c>
      <c r="C35">
        <f>+VLOOKUP(D35,DepMaster!$B:$C,2,FALSE)</f>
        <v>721</v>
      </c>
      <c r="D35" t="str">
        <f>+Hoja2!C56</f>
        <v>Secretaría de Salud</v>
      </c>
      <c r="E35" s="10" t="str">
        <f>+MID(Hoja2!F56,1,2)</f>
        <v>04</v>
      </c>
      <c r="F35" t="str">
        <f>+MID(Hoja2!F56,4,20)</f>
        <v>ARANJUEZ</v>
      </c>
      <c r="G35" t="str">
        <f>+Hoja2!G56</f>
        <v xml:space="preserve">MMCS
Dimensión Vida Saludable: 215
Componente Salud Bucal: 115
Dimensión Salud Mental: 220
Dimensión Sexualidad, derechos sexuales y derechos reproductivos: 162
Dimensión Seguridad Alimentaria y Nutricional: 376
Dimensión Salud Ambiental: 2
</v>
      </c>
      <c r="H35" t="str">
        <f>+Hoja2!H56</f>
        <v>.</v>
      </c>
    </row>
    <row r="36" spans="1:8" x14ac:dyDescent="0.2">
      <c r="A36">
        <f>+Hoja2!A57</f>
        <v>203945</v>
      </c>
      <c r="B36" s="8">
        <f>+Hoja2!B36</f>
        <v>44484</v>
      </c>
      <c r="C36">
        <f>+VLOOKUP(D36,DepMaster!$B:$C,2,FALSE)</f>
        <v>721</v>
      </c>
      <c r="D36" t="str">
        <f>+Hoja2!C57</f>
        <v>Secretaría de Salud</v>
      </c>
      <c r="E36" s="10" t="str">
        <f>+MID(Hoja2!F57,1,2)</f>
        <v>05</v>
      </c>
      <c r="F36" t="str">
        <f>+MID(Hoja2!F57,4,20)</f>
        <v>CASTILLA</v>
      </c>
      <c r="G36" t="str">
        <f>+Hoja2!G57</f>
        <v xml:space="preserve">MMCS
Dimensión Salud Mental: 60
Dimensión Sexualidad, derechos sexuales y derechos reproductivos: 1
</v>
      </c>
      <c r="H36" t="str">
        <f>+Hoja2!H57</f>
        <v>.</v>
      </c>
    </row>
    <row r="37" spans="1:8" x14ac:dyDescent="0.2">
      <c r="A37">
        <f>+Hoja2!A58</f>
        <v>203945</v>
      </c>
      <c r="B37" s="8">
        <f>+Hoja2!B37</f>
        <v>44484</v>
      </c>
      <c r="C37">
        <f>+VLOOKUP(D37,DepMaster!$B:$C,2,FALSE)</f>
        <v>721</v>
      </c>
      <c r="D37" t="str">
        <f>+Hoja2!C58</f>
        <v>Secretaría de Salud</v>
      </c>
      <c r="E37" s="10" t="str">
        <f>+MID(Hoja2!F58,1,2)</f>
        <v>06</v>
      </c>
      <c r="F37" t="str">
        <f>+MID(Hoja2!F58,4,20)</f>
        <v>DOCE DE OCTUBRE</v>
      </c>
      <c r="G37" t="str">
        <f>+Hoja2!G58</f>
        <v xml:space="preserve">Dimensión Vida Saludable: 358
Componente Salud Bucal: 277
Dimensión Salud Mental: 121
Dimensión Sexualidad, derechos sexuales y derechos reproductivos: 35
Dimensión Seguridad Alimentaria y Nutricional: 56
Dimensión Salud Ambiental: 17
</v>
      </c>
      <c r="H37" t="str">
        <f>+Hoja2!H58</f>
        <v>.</v>
      </c>
    </row>
    <row r="38" spans="1:8" x14ac:dyDescent="0.2">
      <c r="A38">
        <f>+Hoja2!A59</f>
        <v>203945</v>
      </c>
      <c r="B38" s="8">
        <f>+Hoja2!B38</f>
        <v>44484</v>
      </c>
      <c r="C38">
        <f>+VLOOKUP(D38,DepMaster!$B:$C,2,FALSE)</f>
        <v>721</v>
      </c>
      <c r="D38" t="str">
        <f>+Hoja2!C59</f>
        <v>Secretaría de Salud</v>
      </c>
      <c r="E38" s="10" t="str">
        <f>+MID(Hoja2!F59,1,2)</f>
        <v>07</v>
      </c>
      <c r="F38" t="str">
        <f>+MID(Hoja2!F59,4,20)</f>
        <v>ROBLEDO</v>
      </c>
      <c r="G38" t="str">
        <f>+Hoja2!G59</f>
        <v xml:space="preserve">MMCS
Dimensión Vida Saludable: 2
Componente Salud Bucal: 19
Dimensión Salud Mental: 26
Dimensión Sexualidad, derechos sexuales y derechos reproductivos: 49
Dimensión Seguridad Alimentaria y Nutricional: 5
</v>
      </c>
      <c r="H38" t="str">
        <f>+Hoja2!H59</f>
        <v>.</v>
      </c>
    </row>
    <row r="39" spans="1:8" x14ac:dyDescent="0.2">
      <c r="A39">
        <f>+Hoja2!A60</f>
        <v>203945</v>
      </c>
      <c r="B39" s="8">
        <f>+Hoja2!B39</f>
        <v>44484</v>
      </c>
      <c r="C39">
        <f>+VLOOKUP(D39,DepMaster!$B:$C,2,FALSE)</f>
        <v>721</v>
      </c>
      <c r="D39" t="str">
        <f>+Hoja2!C60</f>
        <v>Secretaría de Salud</v>
      </c>
      <c r="E39" s="10" t="str">
        <f>+MID(Hoja2!F60,1,2)</f>
        <v>08</v>
      </c>
      <c r="F39" t="str">
        <f>+MID(Hoja2!F60,4,20)</f>
        <v>VILLA HERMOSA</v>
      </c>
      <c r="G39" t="str">
        <f>+Hoja2!G60</f>
        <v xml:space="preserve">MMCS
Dimensión Vida Saludable: 13
Componente Salud Bucal: 103
Dimensión Salud Mental: 109
Dimensión Sexualidad, derechos sexuales y derechos reproductivos: 23
Dimensión Seguridad Alimentaria y Nutricional: 453
Dimensión Salud Ambiental: 6
</v>
      </c>
      <c r="H39" t="str">
        <f>+Hoja2!H60</f>
        <v>.</v>
      </c>
    </row>
    <row r="40" spans="1:8" x14ac:dyDescent="0.2">
      <c r="A40">
        <f>+Hoja2!A61</f>
        <v>203945</v>
      </c>
      <c r="B40" s="8">
        <f>+Hoja2!B40</f>
        <v>44484</v>
      </c>
      <c r="C40">
        <f>+VLOOKUP(D40,DepMaster!$B:$C,2,FALSE)</f>
        <v>721</v>
      </c>
      <c r="D40" t="str">
        <f>+Hoja2!C61</f>
        <v>Secretaría de Salud</v>
      </c>
      <c r="E40" s="10" t="str">
        <f>+MID(Hoja2!F61,1,2)</f>
        <v>09</v>
      </c>
      <c r="F40" t="str">
        <f>+MID(Hoja2!F61,4,20)</f>
        <v>BUENOS AIRES</v>
      </c>
      <c r="G40" t="str">
        <f>+Hoja2!G61</f>
        <v xml:space="preserve">MMCS
Dimensión Vida Saludable: 154
Componente Salud Bucal: 0
Dimensión Salud Mental: 46
Dimensión Sexualidad, derechos sexuales y derechos reproductivos: 122
Dimensión Seguridad Alimentaria y Nutricional: 54
</v>
      </c>
      <c r="H40" t="str">
        <f>+Hoja2!H61</f>
        <v>.</v>
      </c>
    </row>
    <row r="41" spans="1:8" x14ac:dyDescent="0.2">
      <c r="A41">
        <f>+Hoja2!A62</f>
        <v>203945</v>
      </c>
      <c r="B41" s="8">
        <f>+Hoja2!B41</f>
        <v>44484</v>
      </c>
      <c r="C41">
        <f>+VLOOKUP(D41,DepMaster!$B:$C,2,FALSE)</f>
        <v>721</v>
      </c>
      <c r="D41" t="str">
        <f>+Hoja2!C62</f>
        <v>Secretaría de Salud</v>
      </c>
      <c r="E41" s="10" t="str">
        <f>+MID(Hoja2!F62,1,2)</f>
        <v>10</v>
      </c>
      <c r="F41" t="str">
        <f>+MID(Hoja2!F62,4,20)</f>
        <v>LA CANDELARIA</v>
      </c>
      <c r="G41" t="str">
        <f>+Hoja2!G62</f>
        <v xml:space="preserve">Dimensión Vida Saludable: 77
Componente Salud Bucal: 50
Dimensión Salud Mental: 244
Dimensión Sexualidad, derechos sexuales y derechos reproductivos: 185
</v>
      </c>
      <c r="H41" t="str">
        <f>+Hoja2!H62</f>
        <v>.</v>
      </c>
    </row>
    <row r="42" spans="1:8" x14ac:dyDescent="0.2">
      <c r="A42">
        <f>+Hoja2!A63</f>
        <v>203945</v>
      </c>
      <c r="B42" s="8">
        <f>+Hoja2!B42</f>
        <v>44484</v>
      </c>
      <c r="C42">
        <f>+VLOOKUP(D42,DepMaster!$B:$C,2,FALSE)</f>
        <v>721</v>
      </c>
      <c r="D42" t="str">
        <f>+Hoja2!C63</f>
        <v>Secretaría de Salud</v>
      </c>
      <c r="E42" s="10" t="str">
        <f>+MID(Hoja2!F63,1,2)</f>
        <v>11</v>
      </c>
      <c r="F42" t="str">
        <f>+MID(Hoja2!F63,4,20)</f>
        <v>LAURELES</v>
      </c>
      <c r="G42" t="str">
        <f>+Hoja2!G63</f>
        <v xml:space="preserve">Dimensión Vida Saludable: 24
Dimensión Salud Mental: 105
Dimensión Sexualidad, derechos sexuales y derechos reproductivos: 43
</v>
      </c>
      <c r="H42" t="str">
        <f>+Hoja2!H63</f>
        <v>.</v>
      </c>
    </row>
    <row r="43" spans="1:8" x14ac:dyDescent="0.2">
      <c r="A43">
        <f>+Hoja2!A64</f>
        <v>203945</v>
      </c>
      <c r="B43" s="8">
        <f>+Hoja2!B43</f>
        <v>44484</v>
      </c>
      <c r="C43">
        <f>+VLOOKUP(D43,DepMaster!$B:$C,2,FALSE)</f>
        <v>721</v>
      </c>
      <c r="D43" t="str">
        <f>+Hoja2!C64</f>
        <v>Secretaría de Salud</v>
      </c>
      <c r="E43" s="10" t="str">
        <f>+MID(Hoja2!F64,1,2)</f>
        <v>12</v>
      </c>
      <c r="F43" t="str">
        <f>+MID(Hoja2!F64,4,20)</f>
        <v>LA AMERICA</v>
      </c>
      <c r="G43" t="str">
        <f>+Hoja2!G64</f>
        <v xml:space="preserve">MMCS
Dimensión Vida Saludable: 24
Dimensión Salud Mental: 33
Dimensión Sexualidad, derechos sexuales y derechos reproductivos: 8
</v>
      </c>
      <c r="H43" t="str">
        <f>+Hoja2!H64</f>
        <v>.</v>
      </c>
    </row>
    <row r="44" spans="1:8" x14ac:dyDescent="0.2">
      <c r="A44">
        <f>+Hoja2!A65</f>
        <v>203945</v>
      </c>
      <c r="B44" s="8">
        <f>+Hoja2!B44</f>
        <v>44484</v>
      </c>
      <c r="C44">
        <f>+VLOOKUP(D44,DepMaster!$B:$C,2,FALSE)</f>
        <v>721</v>
      </c>
      <c r="D44" t="str">
        <f>+Hoja2!C65</f>
        <v>Secretaría de Salud</v>
      </c>
      <c r="E44" s="10" t="str">
        <f>+MID(Hoja2!F65,1,2)</f>
        <v>13</v>
      </c>
      <c r="F44" t="str">
        <f>+MID(Hoja2!F65,4,20)</f>
        <v>SAN JAVIER</v>
      </c>
      <c r="G44" t="str">
        <f>+Hoja2!G65</f>
        <v xml:space="preserve">Dimensión Vida Saludable: 215
Componente Salud Bucal: 348
Dimensión Salud Mental: 128
Dimensión Sexualidad, derechos sexuales y derechos reproductivos: 91
Dimensión Seguridad Alimentaria y Nutricional: 227
</v>
      </c>
      <c r="H44" t="str">
        <f>+Hoja2!H65</f>
        <v>.</v>
      </c>
    </row>
    <row r="45" spans="1:8" x14ac:dyDescent="0.2">
      <c r="A45">
        <f>+Hoja2!A66</f>
        <v>203945</v>
      </c>
      <c r="B45" s="8">
        <f>+Hoja2!B45</f>
        <v>44484</v>
      </c>
      <c r="C45">
        <f>+VLOOKUP(D45,DepMaster!$B:$C,2,FALSE)</f>
        <v>721</v>
      </c>
      <c r="D45" t="str">
        <f>+Hoja2!C66</f>
        <v>Secretaría de Salud</v>
      </c>
      <c r="E45" s="10" t="str">
        <f>+MID(Hoja2!F66,1,2)</f>
        <v>14</v>
      </c>
      <c r="F45" t="str">
        <f>+MID(Hoja2!F66,4,20)</f>
        <v>EL POBLADO</v>
      </c>
      <c r="G45" t="str">
        <f>+Hoja2!G66</f>
        <v xml:space="preserve">MMCS
Dimensión Vida Saludable: 24
Dimensión Salud Mental: 20
Dimensión Sexualidad, derechos sexuales y derechos reproductivos: 43
</v>
      </c>
      <c r="H45" t="str">
        <f>+Hoja2!H66</f>
        <v>.</v>
      </c>
    </row>
    <row r="46" spans="1:8" x14ac:dyDescent="0.2">
      <c r="A46">
        <f>+Hoja2!A67</f>
        <v>203945</v>
      </c>
      <c r="B46" s="8">
        <f>+Hoja2!B46</f>
        <v>44484</v>
      </c>
      <c r="C46">
        <f>+VLOOKUP(D46,DepMaster!$B:$C,2,FALSE)</f>
        <v>721</v>
      </c>
      <c r="D46" t="str">
        <f>+Hoja2!C67</f>
        <v>Secretaría de Salud</v>
      </c>
      <c r="E46" s="10" t="str">
        <f>+MID(Hoja2!F67,1,2)</f>
        <v>15</v>
      </c>
      <c r="F46" t="str">
        <f>+MID(Hoja2!F67,4,20)</f>
        <v>GUAYABAL</v>
      </c>
      <c r="G46" t="str">
        <f>+Hoja2!G67</f>
        <v xml:space="preserve">MMCS
Dimensión Vida Saludable: 14
Dimensión Salud Mental: 25
Dimensión Sexualidad, derechos sexuales y derechos reproductivos: 3
</v>
      </c>
      <c r="H46" t="str">
        <f>+Hoja2!H67</f>
        <v>.</v>
      </c>
    </row>
    <row r="47" spans="1:8" x14ac:dyDescent="0.2">
      <c r="A47">
        <f>+Hoja2!A68</f>
        <v>203945</v>
      </c>
      <c r="B47" s="8">
        <f>+Hoja2!B47</f>
        <v>44484</v>
      </c>
      <c r="C47">
        <f>+VLOOKUP(D47,DepMaster!$B:$C,2,FALSE)</f>
        <v>721</v>
      </c>
      <c r="D47" t="str">
        <f>+Hoja2!C68</f>
        <v>Secretaría de Salud</v>
      </c>
      <c r="E47" s="10" t="str">
        <f>+MID(Hoja2!F68,1,2)</f>
        <v>16</v>
      </c>
      <c r="F47" t="str">
        <f>+MID(Hoja2!F68,4,20)</f>
        <v>BELEN</v>
      </c>
      <c r="G47" t="str">
        <f>+Hoja2!G68</f>
        <v xml:space="preserve">MMCS
Dimensión Vida Saludable: 2
Componente Salud Bucal: 10
Dimensión Salud Mental: 13
Dimensión Sexualidad, derechos sexuales y derechos reproductivos: 2
Dimensión Seguridad Alimentaria y Nutricional: 4
</v>
      </c>
      <c r="H47" t="str">
        <f>+Hoja2!H68</f>
        <v>.</v>
      </c>
    </row>
    <row r="48" spans="1:8" x14ac:dyDescent="0.2">
      <c r="A48">
        <f>+Hoja2!A69</f>
        <v>203945</v>
      </c>
      <c r="B48" s="8">
        <f>+Hoja2!B48</f>
        <v>44484</v>
      </c>
      <c r="C48">
        <f>+VLOOKUP(D48,DepMaster!$B:$C,2,FALSE)</f>
        <v>721</v>
      </c>
      <c r="D48" t="str">
        <f>+Hoja2!C69</f>
        <v>Secretaría de Salud</v>
      </c>
      <c r="E48" s="10" t="str">
        <f>+MID(Hoja2!F69,1,2)</f>
        <v>50</v>
      </c>
      <c r="F48" t="str">
        <f>+MID(Hoja2!F69,4,20)</f>
        <v>PALMITAS</v>
      </c>
      <c r="G48" t="str">
        <f>+Hoja2!G69</f>
        <v xml:space="preserve">MMCS
Dimensión Vida Saludable: 4
Dimensión Salud Mental: 5
Dimensión Seguridad Alimentaria y Nutricional: 1
</v>
      </c>
      <c r="H48" t="str">
        <f>+Hoja2!H69</f>
        <v>.</v>
      </c>
    </row>
    <row r="49" spans="1:8" x14ac:dyDescent="0.2">
      <c r="A49">
        <f>+Hoja2!A70</f>
        <v>203945</v>
      </c>
      <c r="B49" s="8">
        <f>+Hoja2!B49</f>
        <v>44484</v>
      </c>
      <c r="C49">
        <f>+VLOOKUP(D49,DepMaster!$B:$C,2,FALSE)</f>
        <v>721</v>
      </c>
      <c r="D49" t="str">
        <f>+Hoja2!C70</f>
        <v>Secretaría de Salud</v>
      </c>
      <c r="E49" s="10" t="str">
        <f>+MID(Hoja2!F70,1,2)</f>
        <v>60</v>
      </c>
      <c r="F49" t="str">
        <f>+MID(Hoja2!F70,4,20)</f>
        <v>SAN CRISTOBAL</v>
      </c>
      <c r="G49" t="str">
        <f>+Hoja2!G70</f>
        <v xml:space="preserve">Dimensión Vida Saludable: 61
Componente Salud Bucal: 90
Dimensión Salud Mental: 126
Dimensión Sexualidad, derechos sexuales y derechos reproductivos: 88
Dimensión Seguridad Alimentaria y Nutricional: 63
</v>
      </c>
      <c r="H49" t="str">
        <f>+Hoja2!H70</f>
        <v>.</v>
      </c>
    </row>
    <row r="50" spans="1:8" x14ac:dyDescent="0.2">
      <c r="A50">
        <f>+Hoja2!A71</f>
        <v>203945</v>
      </c>
      <c r="B50" s="8">
        <f>+Hoja2!B50</f>
        <v>44484</v>
      </c>
      <c r="C50">
        <f>+VLOOKUP(D50,DepMaster!$B:$C,2,FALSE)</f>
        <v>721</v>
      </c>
      <c r="D50" t="str">
        <f>+Hoja2!C71</f>
        <v>Secretaría de Salud</v>
      </c>
      <c r="E50" s="10" t="str">
        <f>+MID(Hoja2!F71,1,2)</f>
        <v>70</v>
      </c>
      <c r="F50" t="str">
        <f>+MID(Hoja2!F71,4,20)</f>
        <v>ALTAVISTA</v>
      </c>
      <c r="G50" t="str">
        <f>+Hoja2!G71</f>
        <v xml:space="preserve">Dimensión Vida Saludable: 11
Componente Salud Bucal: 124
Dimensión Salud Mental: 28
</v>
      </c>
      <c r="H50" t="str">
        <f>+Hoja2!H71</f>
        <v>.</v>
      </c>
    </row>
    <row r="51" spans="1:8" x14ac:dyDescent="0.2">
      <c r="A51">
        <f>+Hoja2!A72</f>
        <v>203945</v>
      </c>
      <c r="B51" s="8">
        <f>+Hoja2!B51</f>
        <v>44484</v>
      </c>
      <c r="C51">
        <f>+VLOOKUP(D51,DepMaster!$B:$C,2,FALSE)</f>
        <v>721</v>
      </c>
      <c r="D51" t="str">
        <f>+Hoja2!C72</f>
        <v>Secretaría de Salud</v>
      </c>
      <c r="E51" s="10" t="str">
        <f>+MID(Hoja2!F72,1,2)</f>
        <v>80</v>
      </c>
      <c r="F51" t="str">
        <f>+MID(Hoja2!F72,4,20)</f>
        <v>SAN ANTONIO DE PRADO</v>
      </c>
      <c r="G51" t="str">
        <f>+Hoja2!G72</f>
        <v xml:space="preserve">MMCS
Dimensión Vida Saludable: 78
Componente Salud Bucal: 63
Dimensión Salud Mental: 155
Dimensión Sexualidad, derechos sexuales y derechos reproductivos: 61
Dimensión Seguridad Alimentaria y Nutricional: 16
Dimensión Salud Ambiental: 18
</v>
      </c>
      <c r="H51" t="str">
        <f>+Hoja2!H72</f>
        <v>.</v>
      </c>
    </row>
    <row r="52" spans="1:8" x14ac:dyDescent="0.2">
      <c r="A52">
        <f>+Hoja2!A73</f>
        <v>203945</v>
      </c>
      <c r="B52" s="8">
        <f>+Hoja2!B52</f>
        <v>44484</v>
      </c>
      <c r="C52">
        <f>+VLOOKUP(D52,DepMaster!$B:$C,2,FALSE)</f>
        <v>721</v>
      </c>
      <c r="D52" t="str">
        <f>+Hoja2!C73</f>
        <v>Secretaría de Salud</v>
      </c>
      <c r="E52" s="10" t="str">
        <f>+MID(Hoja2!F73,1,2)</f>
        <v>90</v>
      </c>
      <c r="F52" t="str">
        <f>+MID(Hoja2!F73,4,20)</f>
        <v>SANTA ELENA</v>
      </c>
      <c r="G52" t="str">
        <f>+Hoja2!G73</f>
        <v xml:space="preserve">MMCS
Dimensión Salud Mental: 7
Dimensión Sexualidad, derechos sexuales y derechos reproductivos: 6
Dimensión Seguridad Alimentaria y Nutricional: 2
</v>
      </c>
      <c r="H52" t="str">
        <f>+Hoja2!H73</f>
        <v>.</v>
      </c>
    </row>
    <row r="53" spans="1:8" x14ac:dyDescent="0.2">
      <c r="A53">
        <f>+Hoja2!A74</f>
        <v>204005</v>
      </c>
      <c r="B53" s="8">
        <f>+Hoja2!B53</f>
        <v>44484</v>
      </c>
      <c r="C53">
        <f>+VLOOKUP(D53,DepMaster!$B:$C,2,FALSE)</f>
        <v>714</v>
      </c>
      <c r="D53" t="str">
        <f>+Hoja2!C74</f>
        <v>Buen Comienzo</v>
      </c>
      <c r="E53" s="10" t="str">
        <f>+MID(Hoja2!F74,1,2)</f>
        <v>01</v>
      </c>
      <c r="F53" t="str">
        <f>+MID(Hoja2!F74,4,20)</f>
        <v>POPULAR</v>
      </c>
      <c r="G53" t="str">
        <f>+Hoja2!G74</f>
        <v xml:space="preserve">Participación y acompañamiento en la Semana de la Alimentación que se realiza entre el 09 y el 16 de octubre, con los siguientes eventos: Actividades educativas, gastronómicas, caminata de la alimentación en el pueblito paisa, rueda de prensa en la Placita Delivery, feria agroalimentaria, conversatorios, Facebook Live acerca de la alimentación infantil.
Se harán eventos en toda la ciudad por lo que se llegará a todas las comunas.
</v>
      </c>
      <c r="H53" t="str">
        <f>+Hoja2!H74</f>
        <v>Se busca impactar a 20.000 personas aproximadamente.</v>
      </c>
    </row>
    <row r="54" spans="1:8" x14ac:dyDescent="0.2">
      <c r="A54">
        <f>+Hoja2!A75</f>
        <v>204013</v>
      </c>
      <c r="B54" s="8">
        <f>+Hoja2!B54</f>
        <v>44484</v>
      </c>
      <c r="C54">
        <f>+VLOOKUP(D54,DepMaster!$B:$C,2,FALSE)</f>
        <v>761</v>
      </c>
      <c r="D54" t="str">
        <f>+Hoja2!C75</f>
        <v>Departamento Administrativo de Planeación</v>
      </c>
      <c r="E54" s="10" t="str">
        <f>+MID(Hoja2!F75,1,2)</f>
        <v>90</v>
      </c>
      <c r="F54" t="str">
        <f>+MID(Hoja2!F75,4,20)</f>
        <v>SANTA ELENA</v>
      </c>
      <c r="G54" t="str">
        <f>+Hoja2!G75</f>
        <v xml:space="preserve">Consolidar la totalidad de las formulaciones de los Proyectos de la Ruta PL y PP 2022
Consolidar la revisión de los proyectos formulados en MGA WEB de los proyectos de las dependencias pertenecientes a la Línea Medellín Me Cuida. 
Avance en la concertación de la propuesta de ajuste
Desarrollo y evaluación de las acciones de la estrategia pedagógica para su ajuste
Evaluación del estado del arte para la formulación de los proyectos y propuesta de cronograma.
Solución de inconsistencias en los proyectos de las comunas revisadas
</v>
      </c>
      <c r="H54" t="str">
        <f>+Hoja2!H75</f>
        <v>N/A</v>
      </c>
    </row>
    <row r="55" spans="1:8" x14ac:dyDescent="0.2">
      <c r="A55">
        <f>+Hoja2!A76</f>
        <v>204033</v>
      </c>
      <c r="B55" s="8">
        <f>+Hoja2!B55</f>
        <v>44484</v>
      </c>
      <c r="C55">
        <f>+VLOOKUP(D55,DepMaster!$B:$C,2,FALSE)</f>
        <v>706</v>
      </c>
      <c r="D55" t="str">
        <f>+Hoja2!C76</f>
        <v>Secretaría de Gestión Humana y Servicio a la Ciudadanía</v>
      </c>
      <c r="E55" s="10" t="str">
        <f>+MID(Hoja2!F76,1,2)</f>
        <v>10</v>
      </c>
      <c r="F55" t="str">
        <f>+MID(Hoja2!F76,4,20)</f>
        <v>LA CANDELARIA</v>
      </c>
      <c r="G55" t="str">
        <f>+Hoja2!G76</f>
        <v>N/A</v>
      </c>
      <c r="H55" t="str">
        <f>+Hoja2!H76</f>
        <v>N/A</v>
      </c>
    </row>
    <row r="56" spans="1:8" x14ac:dyDescent="0.2">
      <c r="A56">
        <f>+Hoja2!A77</f>
        <v>204084</v>
      </c>
      <c r="B56" s="8">
        <f>+Hoja2!B56</f>
        <v>44484</v>
      </c>
      <c r="C56">
        <f>+VLOOKUP(D56,DepMaster!$B:$C,2,FALSE)</f>
        <v>723</v>
      </c>
      <c r="D56" t="str">
        <f>+Hoja2!C77</f>
        <v>Secretaría de las Mujeres</v>
      </c>
      <c r="E56" s="10" t="str">
        <f>+MID(Hoja2!F77,1,2)</f>
        <v>14</v>
      </c>
      <c r="F56" t="str">
        <f>+MID(Hoja2!F77,4,20)</f>
        <v>EL POBLADO</v>
      </c>
      <c r="G56" t="str">
        <f>+Hoja2!G77</f>
        <v xml:space="preserve">En el taller virtual realizado el 7 de octubre sobre socialización de documentos técnicos para la incorporación del enfoque de género en las comunicaciones, en el que se contó con la participación de 14 personas de la empresa Tigo (Comuna 14), se logró presentar por primera vez la estrategia a un equipo de comunicadores y comunicadoras, y realizar un ejercicio de retroalimentación y trabajo conjunto sobre las posibles formas que una compañía puede incorporar el enfoque de género en la comunicaciones. </v>
      </c>
      <c r="H56" t="str">
        <f>+Hoja2!H77</f>
        <v>.</v>
      </c>
    </row>
    <row r="57" spans="1:8" x14ac:dyDescent="0.2">
      <c r="A57">
        <f>+Hoja2!A78</f>
        <v>204110</v>
      </c>
      <c r="B57" s="8">
        <f>+Hoja2!B57</f>
        <v>44484</v>
      </c>
      <c r="C57">
        <f>+VLOOKUP(D57,DepMaster!$B:$C,2,FALSE)</f>
        <v>742</v>
      </c>
      <c r="D57" t="str">
        <f>+Hoja2!C78</f>
        <v>Secretaría de Medio Ambiente</v>
      </c>
      <c r="E57" s="10" t="str">
        <f>+MID(Hoja2!F78,1,2)</f>
        <v>01</v>
      </c>
      <c r="F57" t="str">
        <f>+MID(Hoja2!F78,4,20)</f>
        <v>POPULAR</v>
      </c>
      <c r="G57" t="str">
        <f>+Hoja2!G78</f>
        <v xml:space="preserve">.Participación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
-Intervención Paisajística en la Quebrada La Moscú Carrera 42C No. 101B 30 Interior 103 
actividad: rescate de 7 caninos 1 felino  
animales atendidos: 8
Actividad: Esterilizaciones con la universidad de Antioquia, 20 caninos , 70 felinos 
Animales Atendidos: 90
Actividad: implantación de microchip con la universidad de Antioquia a 29 caninos, 68 felinos 
Animales Atendidos: 97
</v>
      </c>
      <c r="H57" t="str">
        <f>+Hoja2!H78</f>
        <v>animales atendidos: 8</v>
      </c>
    </row>
    <row r="58" spans="1:8" x14ac:dyDescent="0.2">
      <c r="A58">
        <f>+Hoja2!A79</f>
        <v>204110</v>
      </c>
      <c r="B58" s="8">
        <f>+Hoja2!B58</f>
        <v>44484</v>
      </c>
      <c r="C58">
        <f>+VLOOKUP(D58,DepMaster!$B:$C,2,FALSE)</f>
        <v>742</v>
      </c>
      <c r="D58" t="str">
        <f>+Hoja2!C79</f>
        <v>Secretaría de Medio Ambiente</v>
      </c>
      <c r="E58" s="10" t="str">
        <f>+MID(Hoja2!F79,1,2)</f>
        <v>02</v>
      </c>
      <c r="F58" t="str">
        <f>+MID(Hoja2!F79,4,20)</f>
        <v>SANTA CRUZ</v>
      </c>
      <c r="G58" t="str">
        <f>+Hoja2!G79</f>
        <v xml:space="preserve">.Participación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
-Mantenimiento de jardines y árboles en la Quebrada Juan Bobo Carrera 49 B Calle 105.
-Actividad: Rescate de 1 felino.
Animales atendidos: 1 
Actividad: Esterilizaciones con la universidad de Antioquia a 45 caninos, 49 felinos. 
Animales Atendidos: 94
Actividad: implantación de microchip con la universidad de Antioquia a 45 caninos, 52 felinos 
Animales Atendidos: 97
Actividad: Se realiza sensibilización acerca de manejo de excretas de animales de compañía en vía pública. La actividad Se desarrolla en modalidad puerta a puerta
Personas Atendidas: 22 </v>
      </c>
      <c r="H58" t="str">
        <f>+Hoja2!H79</f>
        <v>Personas Atendidas: 22</v>
      </c>
    </row>
    <row r="59" spans="1:8" x14ac:dyDescent="0.2">
      <c r="A59">
        <f>+Hoja2!A80</f>
        <v>204110</v>
      </c>
      <c r="B59" s="8">
        <f>+Hoja2!B59</f>
        <v>44484</v>
      </c>
      <c r="C59">
        <f>+VLOOKUP(D59,DepMaster!$B:$C,2,FALSE)</f>
        <v>742</v>
      </c>
      <c r="D59" t="str">
        <f>+Hoja2!C80</f>
        <v>Secretaría de Medio Ambiente</v>
      </c>
      <c r="E59" s="10" t="str">
        <f>+MID(Hoja2!F80,1,2)</f>
        <v>03</v>
      </c>
      <c r="F59" t="str">
        <f>+MID(Hoja2!F80,4,20)</f>
        <v>MANRIQUE</v>
      </c>
      <c r="G59" t="str">
        <f>+Hoja2!G80</f>
        <v>-Intervención Puntual asociada a punto crítico. 
Logro: Sostenibilidad del espacio intervenido.  
Indicadores: Limpieza zonas verdes :250m2, 
Recolección sólidos (rcd,ordinarios y voluminosos): 24 m3
Retiro de Publicidad Prohibida : 13 postes
Rocería: 200 m2. 
Recurso impactado: Recurso Hídrico, Aire.
-Participación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
-Intervenciones Paisajísticas en la Quebradas La Bermejala (Carrera 36 con calle 91) La Tebaida (Calle 84 con carrera 39 hasta la Calle 86AD con carrera 36),  El Molino (Carrera 47 #74-20) y La Honda (Calle 71AA entre carrera 42 y 43 y calle 71 con carrera 47).
-Actividad: Rescate de 2 caninos.
Animales atendidos: 2
Actividad:   Esterilizaciones con la universidad de Antioquia a 47 caninos, 58 felinos 
Animales atendidos: 105
Actividad: implantación de microchip con la universidad de Antioquia a 48 caninos, 58 felinos
Animales Atendidos: 106</v>
      </c>
      <c r="H59">
        <f>+Hoja2!H80</f>
        <v>0</v>
      </c>
    </row>
    <row r="60" spans="1:8" x14ac:dyDescent="0.2">
      <c r="A60">
        <f>+Hoja2!A81</f>
        <v>204110</v>
      </c>
      <c r="B60" s="8">
        <f>+Hoja2!B60</f>
        <v>44484</v>
      </c>
      <c r="C60">
        <f>+VLOOKUP(D60,DepMaster!$B:$C,2,FALSE)</f>
        <v>742</v>
      </c>
      <c r="D60" t="str">
        <f>+Hoja2!C81</f>
        <v>Secretaría de Medio Ambiente</v>
      </c>
      <c r="E60" s="10" t="str">
        <f>+MID(Hoja2!F81,1,2)</f>
        <v>04</v>
      </c>
      <c r="F60" t="str">
        <f>+MID(Hoja2!F81,4,20)</f>
        <v>ARANJUEZ</v>
      </c>
      <c r="G60" t="str">
        <f>+Hoja2!G81</f>
        <v xml:space="preserve">-Participación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
-Prevención y mitigación de riesgos derivados de árboles, 8 talas.
-Actividad: Rescate de 2 caninos, 1 felino 
Animales atendidos: 3 
Actividad: Esterilizaciones con la universidad de Antioquia a 47 caninos, 56 felinos 
Animales atendidos: 103
Actividad: implantación de microchip con la universidad de Antioquia a 41 canino, 50 felinos 
Animales atendidos:  91
Actividad: SE PROMOVERÁ LA ADOPCIÓN RESPONSABLE  DE LOS  CANINOS Y FELINOS DEL CENTRO DE BIENESTAR ANIMAL LA PERLA, DURANTE EL DESARROLLO DEL EVENTO PARTICIPARAN  5 CANINOS   CON DIFERENTES CARACTERÍSTICAS (EDAD, TAMAÑO, TEMPERAMENTO ENTRE OTROS),  LOS CUALES PODRÁN SER ADOPTADOS DURANTE LA JORNADA.  ARTICULACIÓN CON LA SECRETARÍA DE PARTICIPACIÓN CIUDADANA- EN EL MARCO DE LA JORNADA TERRITORIOS EN PAZ </v>
      </c>
      <c r="H60">
        <f>+Hoja2!H81</f>
        <v>0</v>
      </c>
    </row>
    <row r="61" spans="1:8" x14ac:dyDescent="0.2">
      <c r="A61">
        <f>+Hoja2!A82</f>
        <v>204110</v>
      </c>
      <c r="B61" s="8">
        <f>+Hoja2!B61</f>
        <v>44484</v>
      </c>
      <c r="C61">
        <f>+VLOOKUP(D61,DepMaster!$B:$C,2,FALSE)</f>
        <v>742</v>
      </c>
      <c r="D61" t="str">
        <f>+Hoja2!C82</f>
        <v>Secretaría de Medio Ambiente</v>
      </c>
      <c r="E61" s="10" t="str">
        <f>+MID(Hoja2!F82,1,2)</f>
        <v>05</v>
      </c>
      <c r="F61" t="str">
        <f>+MID(Hoja2!F82,4,20)</f>
        <v>CASTILLA</v>
      </c>
      <c r="G61" t="str">
        <f>+Hoja2!G82</f>
        <v>-Participación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
-Actividad: Rescate de 10 caninos.
Animales atendidos: 10
Actividad: Esterilizaciones con la universidad de Antioquia a 80 caninos, 128 felinos
Animales Atendidos: 208
Actividad: implantación de microchip con la universidad de Antioquia a 82 caninos, 127 felinos.
Animales Atendidos: 209</v>
      </c>
      <c r="H61">
        <f>+Hoja2!H82</f>
        <v>0</v>
      </c>
    </row>
    <row r="62" spans="1:8" x14ac:dyDescent="0.2">
      <c r="A62">
        <f>+Hoja2!A83</f>
        <v>204110</v>
      </c>
      <c r="B62" s="8">
        <f>+Hoja2!B62</f>
        <v>44484</v>
      </c>
      <c r="C62">
        <f>+VLOOKUP(D62,DepMaster!$B:$C,2,FALSE)</f>
        <v>742</v>
      </c>
      <c r="D62" t="str">
        <f>+Hoja2!C83</f>
        <v>Secretaría de Medio Ambiente</v>
      </c>
      <c r="E62" s="10" t="str">
        <f>+MID(Hoja2!F83,1,2)</f>
        <v>06</v>
      </c>
      <c r="F62" t="str">
        <f>+MID(Hoja2!F83,4,20)</f>
        <v>DOCE DE OCTUBRE</v>
      </c>
      <c r="G62" t="str">
        <f>+Hoja2!G83</f>
        <v>-Participación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
-Actividad: Rescate de 2 caninos, 1 felino.
Animales atendidos: 3
Actividad: El día 8 de octubre de 2021 se recibe llamado del módulo ambiental 123 del Municipio de Medellín, reportando un bovino caído en una cuneta del barrio el picacho, el animal se encuentra muy enterrado y con mucha dificultad para salir, se solicita el apoyo de los bomberos para su extracción y del cuadrante de la policía de la zona, ya que reportan no tener propietario el animal. El equipo de Centro de veterinaria y Zootecnia de la universidad CES se desplaza al sitio, cuando se encuentran en el lugar reportan que el sitio es de difícil acceso y con mucha dificultad para sacar el animal de la cuneta, se cuenta con el apoyo de los bomberos y de la comunidad y en el sitio ya se encuentra el propietario del animal, manifestando que no es la primera vez que pasa esto, a las 2:00 am se logra extraer el bovino, los bomberos cancelan el evento porque el animal se encuentra en buenas condiciones se le suministra agua y comida y se retiran del lugar. El equipo de Centro de veterinaria y Zootecnia de la universidad CES se retira del lugar a las 2:15 am.
Animales Atendidos:1
Actividad: Se realiza sensibilización en cuidado responsable de animales de compañía e inscripción para las jornadas de esterilización e implantación del microchip.
Personas Atendidas: 52 
Animales inscritos: 67</v>
      </c>
      <c r="H62" t="str">
        <f>+Hoja2!H83</f>
        <v>Personas Atendidas: 52</v>
      </c>
    </row>
    <row r="63" spans="1:8" x14ac:dyDescent="0.2">
      <c r="A63">
        <f>+Hoja2!A84</f>
        <v>204110</v>
      </c>
      <c r="B63" s="8">
        <f>+Hoja2!B63</f>
        <v>44484</v>
      </c>
      <c r="C63">
        <f>+VLOOKUP(D63,DepMaster!$B:$C,2,FALSE)</f>
        <v>742</v>
      </c>
      <c r="D63" t="str">
        <f>+Hoja2!C84</f>
        <v>Secretaría de Medio Ambiente</v>
      </c>
      <c r="E63" s="10" t="str">
        <f>+MID(Hoja2!F84,1,2)</f>
        <v>07</v>
      </c>
      <c r="F63" t="str">
        <f>+MID(Hoja2!F84,4,20)</f>
        <v>ROBLEDO</v>
      </c>
      <c r="G63" t="str">
        <f>+Hoja2!G84</f>
        <v>-Participación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
-Prevención y mitigación de riesgos derivados de árboles,  1 retiro
-Actividad: Rescate de 1 felino
Animales Atendidos1
Actividad:  Esterilizaciones con la universidad de Antioquia a 50 caninos, 54 felinos
Animales Atendidos: 104
Actividad: implantación de microchip con la universidad de Antioquia a 534 caninos, 811felinos.
Animales Atendidos: 1345
Actividad: El día 5 de octubre de 2021 se recibe llamado por el modulo ambiental 123, reportando un conejo abandonado por el sector del éxito de robledo con heridas en las orejas, nariz y en sus extremidades, se encuentra postrado en el sitio, el testigo que reporta el evento se queda en el lugar pendiente del animal mientras llega al sitio el equipo del Centro de Veterinaria y Zootecnia. El equipo de Centro de Veterinaria y Zootecnia de la universidad CES se desplaza hacia el lugar para atender el evento, se toman las respectivas medidas de acuerdo a protocolo del programa, se procede a embarcar el animal en el vehículo y posteriormente trasladarlo al CVZ donde se recibe y se inicia protocolo de ingreso.
Animales Atendidos: 1</v>
      </c>
      <c r="H63">
        <f>+Hoja2!H84</f>
        <v>0</v>
      </c>
    </row>
    <row r="64" spans="1:8" x14ac:dyDescent="0.2">
      <c r="A64">
        <f>+Hoja2!A85</f>
        <v>204110</v>
      </c>
      <c r="B64" s="8">
        <f>+Hoja2!B64</f>
        <v>44484</v>
      </c>
      <c r="C64">
        <f>+VLOOKUP(D64,DepMaster!$B:$C,2,FALSE)</f>
        <v>742</v>
      </c>
      <c r="D64" t="str">
        <f>+Hoja2!C85</f>
        <v>Secretaría de Medio Ambiente</v>
      </c>
      <c r="E64" s="10" t="str">
        <f>+MID(Hoja2!F85,1,2)</f>
        <v>08</v>
      </c>
      <c r="F64" t="str">
        <f>+MID(Hoja2!F85,4,20)</f>
        <v>VILLA HERMOSA</v>
      </c>
      <c r="G64" t="str">
        <f>+Hoja2!G85</f>
        <v>-Participación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
-Mantenimiento de árboles en la Quebradas Caño x (Calle 57A con carrera 27, sector El Pueblito y Calle 56EF 56EC 48), Chorro Hondo (Carrera 27 Calle 57), La Arenera (Calle 57 DD con Carrera 23), La Loquita y La Gallinaza 1 (Calle 56D con Carrera 17) y Chorro Hondo (Carrera 16 D No.57B- 98 int.136).
-Actividad: Rescate de 1 canino, 3 felinos.
Animales atendidos: 4
Actividad:  Esterilizaciones con la universidad de Antioquia a 72 caninos, 136 felinos 
Animales atendidos: 208
Actividad: implantación de microchip con la universidad de Antioquia a 48 caninos, 65 felinos.
Animales Atendidos: 113</v>
      </c>
      <c r="H64">
        <f>+Hoja2!H85</f>
        <v>0</v>
      </c>
    </row>
    <row r="65" spans="1:8" x14ac:dyDescent="0.2">
      <c r="A65">
        <f>+Hoja2!A86</f>
        <v>204110</v>
      </c>
      <c r="B65" s="8">
        <f>+Hoja2!B65</f>
        <v>44484</v>
      </c>
      <c r="C65">
        <f>+VLOOKUP(D65,DepMaster!$B:$C,2,FALSE)</f>
        <v>742</v>
      </c>
      <c r="D65" t="str">
        <f>+Hoja2!C86</f>
        <v>Secretaría de Medio Ambiente</v>
      </c>
      <c r="E65" s="10" t="str">
        <f>+MID(Hoja2!F86,1,2)</f>
        <v>09</v>
      </c>
      <c r="F65" t="str">
        <f>+MID(Hoja2!F86,4,20)</f>
        <v>BUENOS AIRES</v>
      </c>
      <c r="G65" t="str">
        <f>+Hoja2!G86</f>
        <v>-Participación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
-Mantenimiento de jardines y árboles en la quebrada La Pastora (calle 44 e carrera 8).
-Actividad: Rescate de 5 caninos, 2 felinos 
Animales atendidos: 7
Actividad: implantación de microchip con la universidad de Antioquia a 25 caninos, 64 felinos. 
Animales Atendidos: 89</v>
      </c>
      <c r="H65">
        <f>+Hoja2!H86</f>
        <v>0</v>
      </c>
    </row>
    <row r="66" spans="1:8" x14ac:dyDescent="0.2">
      <c r="A66">
        <f>+Hoja2!A87</f>
        <v>204110</v>
      </c>
      <c r="B66" s="8">
        <f>+Hoja2!B66</f>
        <v>44484</v>
      </c>
      <c r="C66">
        <f>+VLOOKUP(D66,DepMaster!$B:$C,2,FALSE)</f>
        <v>742</v>
      </c>
      <c r="D66" t="str">
        <f>+Hoja2!C87</f>
        <v>Secretaría de Medio Ambiente</v>
      </c>
      <c r="E66" s="10" t="str">
        <f>+MID(Hoja2!F87,1,2)</f>
        <v>10</v>
      </c>
      <c r="F66" t="str">
        <f>+MID(Hoja2!F87,4,20)</f>
        <v>LA CANDELARIA</v>
      </c>
      <c r="G66" t="str">
        <f>+Hoja2!G87</f>
        <v>-Participación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
-Búsqueda y marcación de sitios para siembra de árboles en la Margen derecha del Río Aburrá, iniciando desde la calle 32 (a la altura del puente de Guayaquil) y en dirección Norte hasta la calle 41 (frente a Plaza Mayor); Margen izquierdo del Río Aburrá, iniciando desde la calle 33 y en dirección Norte; Margen izquierdo del Río Aburrá, iniciando desde cercanías de la calle 33 y en dirección Norte hasta la calle 33.
-Mantenimiento preventivo y curativo a los árboles con declaratoria de patrimonio cultural arbóreo en los  Barrios: La Candelaria y Boston. Actividades Ejecutadas: Plateo, descompactación, retiro y resiembra de jardín, retiro de elementos extraños, aplicación de chipiado, limpieza y desinfección de heridas.
-Actividad: Rescate de 1 canino. 1 felino.
Animales atendidos:2
Actividad:  Esterilizaciones con la universidad de Antioquia a 36 caninos, 53 felinos.
Animales atendidos: 89
Actividad: implantación de microchip con la universidad de Antioquia a 33 caninos, 55 felinos.
Animales atendidos: 88</v>
      </c>
      <c r="H66">
        <f>+Hoja2!H87</f>
        <v>0</v>
      </c>
    </row>
    <row r="67" spans="1:8" x14ac:dyDescent="0.2">
      <c r="A67">
        <f>+Hoja2!A88</f>
        <v>204110</v>
      </c>
      <c r="B67" s="8">
        <f>+Hoja2!B67</f>
        <v>44484</v>
      </c>
      <c r="C67">
        <f>+VLOOKUP(D67,DepMaster!$B:$C,2,FALSE)</f>
        <v>742</v>
      </c>
      <c r="D67" t="str">
        <f>+Hoja2!C88</f>
        <v>Secretaría de Medio Ambiente</v>
      </c>
      <c r="E67" s="10" t="str">
        <f>+MID(Hoja2!F88,1,2)</f>
        <v>11</v>
      </c>
      <c r="F67" t="str">
        <f>+MID(Hoja2!F88,4,20)</f>
        <v>LAURELES</v>
      </c>
      <c r="G67" t="str">
        <f>+Hoja2!G88</f>
        <v xml:space="preserve">-Participación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
-Actividad: SE PROMOVERÁ LA ADOPCIÓN RESPONSABLE  DE LOS  CANINOS Y FELINOS DEL CENTRO DE BIENESTAR ANIMAL LA PERLA, DURANTE EL DESARROLLO DEL EVENTO PARTICIPARAN 15 CANINOS   CON DIFERENTES CARACTERÍSTICAS (EDAD, TAMAÑO, TEMPERAMENTO ENTRE OTROS),  LOS CUALES PODRÁN SER ADOPTADOS DURANTE LA JORNADA. </v>
      </c>
      <c r="H67">
        <f>+Hoja2!H88</f>
        <v>0</v>
      </c>
    </row>
    <row r="68" spans="1:8" x14ac:dyDescent="0.2">
      <c r="A68">
        <f>+Hoja2!A89</f>
        <v>204110</v>
      </c>
      <c r="B68" s="8">
        <f>+Hoja2!B68</f>
        <v>44484</v>
      </c>
      <c r="C68">
        <f>+VLOOKUP(D68,DepMaster!$B:$C,2,FALSE)</f>
        <v>742</v>
      </c>
      <c r="D68" t="str">
        <f>+Hoja2!C89</f>
        <v>Secretaría de Medio Ambiente</v>
      </c>
      <c r="E68" s="10" t="str">
        <f>+MID(Hoja2!F89,1,2)</f>
        <v>12</v>
      </c>
      <c r="F68" t="str">
        <f>+MID(Hoja2!F89,4,20)</f>
        <v>LA AMERICA</v>
      </c>
      <c r="G68" t="str">
        <f>+Hoja2!G89</f>
        <v>Sector quebrada Pelahueso 
Intervención Puntual asociada a punto crítico. 
Logro: Sostenibilidad del espacio intervenido
Indicadores: Limpieza zonas verdes :173m2
Recolección sólidos (rcd,ordinarios y voluminosos): 3 m3
Retiro de Publicidad Prohibida: 19 postes. 
Recurso impactado: Recurso Hídrico, Aire.
-Participación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v>
      </c>
      <c r="H68">
        <f>+Hoja2!H89</f>
        <v>0</v>
      </c>
    </row>
    <row r="69" spans="1:8" x14ac:dyDescent="0.2">
      <c r="A69">
        <f>+Hoja2!A90</f>
        <v>204110</v>
      </c>
      <c r="B69" s="8">
        <f>+Hoja2!B69</f>
        <v>44484</v>
      </c>
      <c r="C69">
        <f>+VLOOKUP(D69,DepMaster!$B:$C,2,FALSE)</f>
        <v>742</v>
      </c>
      <c r="D69" t="str">
        <f>+Hoja2!C90</f>
        <v>Secretaría de Medio Ambiente</v>
      </c>
      <c r="E69" s="10" t="str">
        <f>+MID(Hoja2!F90,1,2)</f>
        <v>13</v>
      </c>
      <c r="F69" t="str">
        <f>+MID(Hoja2!F90,4,20)</f>
        <v>SAN JAVIER</v>
      </c>
      <c r="G69" t="str">
        <f>+Hoja2!G90</f>
        <v>Sector  El Reversadero 
Intervención Puntual asociada a punto crítico 
Logro : Sostenibilidad del espacio intervenido
Indicadores: Limpieza zona verde: 30 m2
Recolección de residuos solidos (rcd,ordinarios y voluminosos: 14m3. 
Recurso impactado: Recurso Hídrico, Aire.
-Participación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
-Actividad: Rescate de 1 canino, 2 felinos
Animales atendidos:3
Actividad:  Esterilizaciones con la universidad de Antioquia a 28 caninos, 61 felinos 
Animales Atendidos: 89
Actividad: implantación de microchip con la universidad de Antioquia a 32 caninos, 64 felinos 
Animales Atendidos: 96</v>
      </c>
      <c r="H69">
        <f>+Hoja2!H90</f>
        <v>0</v>
      </c>
    </row>
    <row r="70" spans="1:8" x14ac:dyDescent="0.2">
      <c r="A70">
        <f>+Hoja2!A91</f>
        <v>204110</v>
      </c>
      <c r="B70" s="8">
        <f>+Hoja2!B70</f>
        <v>44484</v>
      </c>
      <c r="C70">
        <f>+VLOOKUP(D70,DepMaster!$B:$C,2,FALSE)</f>
        <v>742</v>
      </c>
      <c r="D70" t="str">
        <f>+Hoja2!C91</f>
        <v>Secretaría de Medio Ambiente</v>
      </c>
      <c r="E70" s="10" t="str">
        <f>+MID(Hoja2!F91,1,2)</f>
        <v>14</v>
      </c>
      <c r="F70" t="str">
        <f>+MID(Hoja2!F91,4,20)</f>
        <v>EL POBLADO</v>
      </c>
      <c r="G70" t="str">
        <f>+Hoja2!G91</f>
        <v>-Participación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
-Mantenimiento de jardines en el Eco parque Los Naranjos: Quebradas La Escopetería (calle 1 a sur entre carreras 29 y 29c) y la olleta (calle 1 a sur entre carreras 29 y 29c).</v>
      </c>
      <c r="H70">
        <f>+Hoja2!H91</f>
        <v>0</v>
      </c>
    </row>
    <row r="71" spans="1:8" x14ac:dyDescent="0.2">
      <c r="A71">
        <f>+Hoja2!A92</f>
        <v>204110</v>
      </c>
      <c r="B71" s="8">
        <f>+Hoja2!B71</f>
        <v>44484</v>
      </c>
      <c r="C71">
        <f>+VLOOKUP(D71,DepMaster!$B:$C,2,FALSE)</f>
        <v>742</v>
      </c>
      <c r="D71" t="str">
        <f>+Hoja2!C92</f>
        <v>Secretaría de Medio Ambiente</v>
      </c>
      <c r="E71" s="10" t="str">
        <f>+MID(Hoja2!F92,1,2)</f>
        <v>15</v>
      </c>
      <c r="F71" t="str">
        <f>+MID(Hoja2!F92,4,20)</f>
        <v>GUAYABAL</v>
      </c>
      <c r="G71" t="str">
        <f>+Hoja2!G92</f>
        <v>Sector quebrada La Guayabala
Intervención  Integral Ambiental y Feria Pos consumo
Logro : Intervención Integral espacio Intervenido. 
Pintura de pasamanos: 58 m
Pintura de módulos: 2 módulos
pintura de bancas en concreto: 23 Unidades
limpieza de retiros de quebrada: 187 m lineales
limpieza de zonas verdes: 425 m
lavado de puentes peatonales: 4 puentes
limpieza de sumideros: 85 rejillas
Reposición de jardineras y siembra: 9 jardineras, 
Evaluación de individuos arbóreos: 5 árboles para tala
Recolección de RCD: 32m3, 
Recolección de ordinarios: 15m3
Captación material posconsumo. 
Recurso impactado: Recurso Hídrico- Aire.
-Participación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
-Siembra de árboles en el Río Aburrá (autopista sur entre calles 4 sur y 8 y entre calles 6 sur y 4 sur); Recolección de Escombros en las  Quebradas: El Bolo (calle 12c sur hasta carrera 53 -147), La Colinita (calle 10 sur carrera 55), Conservación de Jardines en la Quebrada La Guayabala (carrera 65g calle 14 y carrera 65 calle 1asur hasta carrera 65 calle 23).
-Actividad: Rescate de 1 canino.
Animales atendidos: 1 
Actividad:  El día 4 de octubre de 2021 se recibe llamado de un particular que se encuentra por la avenida guayabal, reportando un equino corriendo por las vías abandonado y colocando en peligro la integridad del animal, los testigos intentan llevarla a un espacio donde se encuentre más segura y no genere ningún peligro, se contacta con el modulo ambiental 123 para solicitar el apoyo de la policía mientras el equipo de Centro de veterinaria y Zootecnia de la universidad CES llegan al sitio. El equipo de Centro de veterinaria y Zootecnia de la universidad CES se desplaza hacia el lugar para atender el evento, se toman las respectivas medidas de acuerdo a protocolo del programa, se procede a embarcar el animal en el vehículo y posteriormente trasladarlo al CVZ donde se recibe y se inicia protocolo de ingreso.
Animales atendidos: 1
Actividad: SE PROMOVERÁ LA ADOPCIÓN RESPONSABLE  DE LOS  CANINOS Y FELINOS DEL CENTRO DE BIENESTAR ANIMAL LA PERLA, DURANTE EL DESARROLLO DEL EVENTO PARTICIPARAN  5 CANINOS Y 7 FELINOS CON DIFERENTES CARACTERÍSTICAS (EDAD, TAMAÑO, TEMPERAMENTO ENTRE OTROS),  LOS CUALES PODRÁN SER ADOPTADOS DURANTE LA JORNADA, ADICIONALMENTE POR PARTE DEL TÉCNICO DE EDUCACIÓN SE REALIZARÁ  UNA SENSIBILIZACIÓN  SOBRE CUIDADO RESPONSABLE DE LOS ANIMALES DE COMPAÑÍA, ESTO SE REALIZA LOS DÍAS 8,9, 10 DE OCTUBRE DEL 2021, EN EL CENTRO  COMERCIAL TERMINAL DEL SUR.</v>
      </c>
      <c r="H71">
        <f>+Hoja2!H92</f>
        <v>0</v>
      </c>
    </row>
    <row r="72" spans="1:8" x14ac:dyDescent="0.2">
      <c r="A72">
        <f>+Hoja2!A93</f>
        <v>204110</v>
      </c>
      <c r="B72" s="8">
        <f>+Hoja2!B72</f>
        <v>44484</v>
      </c>
      <c r="C72">
        <f>+VLOOKUP(D72,DepMaster!$B:$C,2,FALSE)</f>
        <v>742</v>
      </c>
      <c r="D72" t="str">
        <f>+Hoja2!C93</f>
        <v>Secretaría de Medio Ambiente</v>
      </c>
      <c r="E72" s="10" t="str">
        <f>+MID(Hoja2!F93,1,2)</f>
        <v>16</v>
      </c>
      <c r="F72" t="str">
        <f>+MID(Hoja2!F93,4,20)</f>
        <v>BELEN</v>
      </c>
      <c r="G72" t="str">
        <f>+Hoja2!G93</f>
        <v>-Participación y articulación con las mesas interinstitucionales de las comunas y corregimientos.
Logro: Trabajo articulado entre varias dependencias de la administración municipal, de acuerdo a las necesidades de los territorios.
.Relacionamiento con los líderes territoriales para reconocer  las necesidades las problemáticas ambientales de las comunidades  y  acercar la oferta institucional.
Logro: Actualización bases de datos de actores estratégicos.
-Mantenimiento de jardines y árboles en la quebrada Altavista (Calle 27 Carrera 79a Hasta Carrera 70 Calle 27 Centro De Salud-Gaviotas), en el Preventorio (Carrera78 Calle 24) y en el Colegio Yermo Parres (Calle 28 N° 77-84).
-Prevención y mitigación de riesgos derivados de árboles, 1 poda
-Actividad: Rescate de 1 canino 
Animales atendidos: 1 
Actividad:  Esterilizaciones con la universidad de Antioquia a 33 caninos, 48 felinos. 
Animales atendidos: 81
Actividad: implantación de microchip con la universidad de Antioquia a 34 caninos, 48 felinos  
Animales atendidos: 82
Actividad: Se realiza sensibilización el día 5 de octubre en Belén la Gloria con 20 personas sensibilizada, el 6 de octubre en Belén Fátima con 6 personas sensibilizadas, acerca de manejo de excretas de animales de compañía en vía pública. La actividad se desarrolla en modalidad puerta a puerta
Personas atendidas: 26</v>
      </c>
      <c r="H72" t="str">
        <f>+Hoja2!H93</f>
        <v>Personas atendidas: 26</v>
      </c>
    </row>
  </sheetData>
  <autoFilter ref="A1:H77" xr:uid="{00000000-0001-0000-0200-000000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1:C27"/>
  <sheetViews>
    <sheetView workbookViewId="0">
      <selection activeCell="B27" sqref="B27"/>
    </sheetView>
  </sheetViews>
  <sheetFormatPr baseColWidth="10" defaultRowHeight="15" x14ac:dyDescent="0.2"/>
  <cols>
    <col min="2" max="2" width="55.1640625" bestFit="1" customWidth="1"/>
  </cols>
  <sheetData>
    <row r="1" spans="2:3" x14ac:dyDescent="0.2">
      <c r="B1" t="s">
        <v>121</v>
      </c>
      <c r="C1" t="s">
        <v>126</v>
      </c>
    </row>
    <row r="2" spans="2:3" x14ac:dyDescent="0.2">
      <c r="B2" t="s">
        <v>73</v>
      </c>
      <c r="C2">
        <v>761</v>
      </c>
    </row>
    <row r="3" spans="2:3" x14ac:dyDescent="0.2">
      <c r="B3" t="s">
        <v>68</v>
      </c>
      <c r="C3">
        <v>956</v>
      </c>
    </row>
    <row r="4" spans="2:3" x14ac:dyDescent="0.2">
      <c r="B4" t="s">
        <v>76</v>
      </c>
      <c r="C4">
        <v>723</v>
      </c>
    </row>
    <row r="5" spans="2:3" x14ac:dyDescent="0.2">
      <c r="B5" t="s">
        <v>78</v>
      </c>
      <c r="C5">
        <v>751</v>
      </c>
    </row>
    <row r="6" spans="2:3" x14ac:dyDescent="0.2">
      <c r="B6" t="s">
        <v>85</v>
      </c>
      <c r="C6">
        <v>762</v>
      </c>
    </row>
    <row r="7" spans="2:3" x14ac:dyDescent="0.2">
      <c r="B7" t="s">
        <v>87</v>
      </c>
      <c r="C7">
        <v>742</v>
      </c>
    </row>
    <row r="8" spans="2:3" x14ac:dyDescent="0.2">
      <c r="B8" t="s">
        <v>92</v>
      </c>
      <c r="C8">
        <v>705</v>
      </c>
    </row>
    <row r="9" spans="2:3" x14ac:dyDescent="0.2">
      <c r="B9" t="s">
        <v>93</v>
      </c>
      <c r="C9">
        <v>703</v>
      </c>
    </row>
    <row r="10" spans="2:3" x14ac:dyDescent="0.2">
      <c r="B10" t="s">
        <v>95</v>
      </c>
      <c r="C10">
        <v>732</v>
      </c>
    </row>
    <row r="11" spans="2:3" x14ac:dyDescent="0.2">
      <c r="B11" t="s">
        <v>100</v>
      </c>
      <c r="C11">
        <v>724</v>
      </c>
    </row>
    <row r="12" spans="2:3" x14ac:dyDescent="0.2">
      <c r="B12" t="s">
        <v>101</v>
      </c>
      <c r="C12">
        <v>771</v>
      </c>
    </row>
    <row r="13" spans="2:3" x14ac:dyDescent="0.2">
      <c r="B13" t="s">
        <v>103</v>
      </c>
      <c r="C13">
        <v>711</v>
      </c>
    </row>
    <row r="14" spans="2:3" x14ac:dyDescent="0.2">
      <c r="B14" t="s">
        <v>104</v>
      </c>
      <c r="C14">
        <v>706</v>
      </c>
    </row>
    <row r="15" spans="2:3" x14ac:dyDescent="0.2">
      <c r="B15" t="s">
        <v>105</v>
      </c>
      <c r="C15">
        <v>714</v>
      </c>
    </row>
    <row r="16" spans="2:3" x14ac:dyDescent="0.2">
      <c r="B16" t="s">
        <v>106</v>
      </c>
      <c r="C16">
        <v>752</v>
      </c>
    </row>
    <row r="17" spans="2:3" x14ac:dyDescent="0.2">
      <c r="B17" t="s">
        <v>107</v>
      </c>
      <c r="C17">
        <v>722</v>
      </c>
    </row>
    <row r="18" spans="2:3" x14ac:dyDescent="0.2">
      <c r="B18" t="s">
        <v>108</v>
      </c>
      <c r="C18">
        <v>753</v>
      </c>
    </row>
    <row r="19" spans="2:3" x14ac:dyDescent="0.2">
      <c r="B19" t="s">
        <v>109</v>
      </c>
      <c r="C19">
        <v>713</v>
      </c>
    </row>
    <row r="20" spans="2:3" x14ac:dyDescent="0.2">
      <c r="B20" t="s">
        <v>102</v>
      </c>
      <c r="C20">
        <v>954</v>
      </c>
    </row>
    <row r="21" spans="2:3" x14ac:dyDescent="0.2">
      <c r="B21" t="s">
        <v>110</v>
      </c>
      <c r="C21">
        <v>741</v>
      </c>
    </row>
    <row r="22" spans="2:3" x14ac:dyDescent="0.2">
      <c r="B22" t="s">
        <v>111</v>
      </c>
      <c r="C22">
        <v>743</v>
      </c>
    </row>
    <row r="23" spans="2:3" x14ac:dyDescent="0.2">
      <c r="B23" t="s">
        <v>113</v>
      </c>
      <c r="C23">
        <v>721</v>
      </c>
    </row>
    <row r="24" spans="2:3" x14ac:dyDescent="0.2">
      <c r="B24" t="s">
        <v>114</v>
      </c>
      <c r="C24">
        <v>733</v>
      </c>
    </row>
    <row r="25" spans="2:3" x14ac:dyDescent="0.2">
      <c r="B25" t="s">
        <v>116</v>
      </c>
      <c r="C25">
        <v>712</v>
      </c>
    </row>
    <row r="26" spans="2:3" x14ac:dyDescent="0.2">
      <c r="B26" t="s">
        <v>117</v>
      </c>
      <c r="C26">
        <v>707</v>
      </c>
    </row>
    <row r="27" spans="2:3" x14ac:dyDescent="0.2">
      <c r="B27" t="s">
        <v>129</v>
      </c>
      <c r="C27">
        <v>702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4</vt:i4>
      </vt:variant>
    </vt:vector>
  </HeadingPairs>
  <TitlesOfParts>
    <vt:vector size="4" baseType="lpstr">
      <vt:lpstr>Hoja1</vt:lpstr>
      <vt:lpstr>Hoja2</vt:lpstr>
      <vt:lpstr>Hoja3</vt:lpstr>
      <vt:lpstr>DepMaster</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Laura Vanessa Gonzalez Londoño</dc:creator>
  <cp:lastModifiedBy>Microsoft Office User</cp:lastModifiedBy>
  <dcterms:created xsi:type="dcterms:W3CDTF">2021-08-04T14:47:36Z</dcterms:created>
  <dcterms:modified xsi:type="dcterms:W3CDTF">2021-10-15T13:32:41Z</dcterms:modified>
</cp:coreProperties>
</file>