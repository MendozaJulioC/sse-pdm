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1" codeName="{6BE1CDB9-6C1C-A5B6-3FC1-E231EC3C600E}"/>
  <workbookPr codeName="ThisWorkbook"/>
  <mc:AlternateContent xmlns:mc="http://schemas.openxmlformats.org/markup-compatibility/2006">
    <mc:Choice Requires="x15">
      <x15ac:absPath xmlns:x15ac="http://schemas.microsoft.com/office/spreadsheetml/2010/11/ac" url="/Users/juliocesarmendoza/Desktop/pipApp/Backend-pi/src/public/uploads/"/>
    </mc:Choice>
  </mc:AlternateContent>
  <xr:revisionPtr revIDLastSave="0" documentId="13_ncr:1_{5B51E66F-39F5-2249-9377-3903FD1DDD88}" xr6:coauthVersionLast="47" xr6:coauthVersionMax="47" xr10:uidLastSave="{00000000-0000-0000-0000-000000000000}"/>
  <bookViews>
    <workbookView xWindow="0" yWindow="500" windowWidth="51200" windowHeight="27060" activeTab="2" xr2:uid="{00000000-000D-0000-FFFF-FFFF00000000}"/>
  </bookViews>
  <sheets>
    <sheet name="Hoja1" sheetId="1" r:id="rId1"/>
    <sheet name="Hoja2" sheetId="2" r:id="rId2"/>
    <sheet name="Hoja3" sheetId="3" r:id="rId3"/>
    <sheet name="DepMaster" sheetId="4" r:id="rId4"/>
  </sheets>
  <definedNames>
    <definedName name="_xlnm._FilterDatabase" localSheetId="2" hidden="1">Hoja3!$A$1:$H$132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3"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2" i="3"/>
  <c r="D71" i="3" l="1"/>
  <c r="C71" i="3" s="1"/>
  <c r="D95" i="3"/>
  <c r="C95" i="3" s="1"/>
  <c r="D90" i="3"/>
  <c r="C90" i="3" s="1"/>
  <c r="D91" i="3"/>
  <c r="C91" i="3" s="1"/>
  <c r="D67" i="3"/>
  <c r="C67" i="3" s="1"/>
  <c r="D46" i="3"/>
  <c r="C46" i="3" s="1"/>
  <c r="G101" i="3"/>
  <c r="H101" i="3"/>
  <c r="G102" i="3"/>
  <c r="H102" i="3"/>
  <c r="G103" i="3"/>
  <c r="H103" i="3"/>
  <c r="G104" i="3"/>
  <c r="H104" i="3"/>
  <c r="G105" i="3"/>
  <c r="H105" i="3"/>
  <c r="G106" i="3"/>
  <c r="H106" i="3"/>
  <c r="G107" i="3"/>
  <c r="H107" i="3"/>
  <c r="G108" i="3"/>
  <c r="H108" i="3"/>
  <c r="G109" i="3"/>
  <c r="H109" i="3"/>
  <c r="G110" i="3"/>
  <c r="H110" i="3"/>
  <c r="G111" i="3"/>
  <c r="H111" i="3"/>
  <c r="G112" i="3"/>
  <c r="H112" i="3"/>
  <c r="G113" i="3"/>
  <c r="H113" i="3"/>
  <c r="G114" i="3"/>
  <c r="H114" i="3"/>
  <c r="G115" i="3"/>
  <c r="H115" i="3"/>
  <c r="G116" i="3"/>
  <c r="H116" i="3"/>
  <c r="G117" i="3"/>
  <c r="H117" i="3"/>
  <c r="G118" i="3"/>
  <c r="H118" i="3"/>
  <c r="G119" i="3"/>
  <c r="H119" i="3"/>
  <c r="G120" i="3"/>
  <c r="H120" i="3"/>
  <c r="G121" i="3"/>
  <c r="H121" i="3"/>
  <c r="G122" i="3"/>
  <c r="H122" i="3"/>
  <c r="G123" i="3"/>
  <c r="H123" i="3"/>
  <c r="G124" i="3"/>
  <c r="H124" i="3"/>
  <c r="G125" i="3"/>
  <c r="H125" i="3"/>
  <c r="G126" i="3"/>
  <c r="H126" i="3"/>
  <c r="G127" i="3"/>
  <c r="H127" i="3"/>
  <c r="G128" i="3"/>
  <c r="H128" i="3"/>
  <c r="G129" i="3"/>
  <c r="H129" i="3"/>
  <c r="G130" i="3"/>
  <c r="H130" i="3"/>
  <c r="G131" i="3"/>
  <c r="H131" i="3"/>
  <c r="G132" i="3"/>
  <c r="H132" i="3"/>
  <c r="E101" i="3"/>
  <c r="F101" i="3"/>
  <c r="E102" i="3"/>
  <c r="F102" i="3"/>
  <c r="E103" i="3"/>
  <c r="F103" i="3"/>
  <c r="E104" i="3"/>
  <c r="F104" i="3"/>
  <c r="E105" i="3"/>
  <c r="F105" i="3"/>
  <c r="E106" i="3"/>
  <c r="F106" i="3"/>
  <c r="E107" i="3"/>
  <c r="F107" i="3"/>
  <c r="E108" i="3"/>
  <c r="F108" i="3"/>
  <c r="E109" i="3"/>
  <c r="F109" i="3"/>
  <c r="E110" i="3"/>
  <c r="F110" i="3"/>
  <c r="E111" i="3"/>
  <c r="F111" i="3"/>
  <c r="E112" i="3"/>
  <c r="F112" i="3"/>
  <c r="E113" i="3"/>
  <c r="F113" i="3"/>
  <c r="E114" i="3"/>
  <c r="F114" i="3"/>
  <c r="E115" i="3"/>
  <c r="F115" i="3"/>
  <c r="E116" i="3"/>
  <c r="F116" i="3"/>
  <c r="E117" i="3"/>
  <c r="F117" i="3"/>
  <c r="E118" i="3"/>
  <c r="F118" i="3"/>
  <c r="E119" i="3"/>
  <c r="F119" i="3"/>
  <c r="E120" i="3"/>
  <c r="F120" i="3"/>
  <c r="E121" i="3"/>
  <c r="F121" i="3"/>
  <c r="E122" i="3"/>
  <c r="F122" i="3"/>
  <c r="E123" i="3"/>
  <c r="F123" i="3"/>
  <c r="E124" i="3"/>
  <c r="F124" i="3"/>
  <c r="E125" i="3"/>
  <c r="F125" i="3"/>
  <c r="E126" i="3"/>
  <c r="F126" i="3"/>
  <c r="E127" i="3"/>
  <c r="F127" i="3"/>
  <c r="E128" i="3"/>
  <c r="F128" i="3"/>
  <c r="E129" i="3"/>
  <c r="F129" i="3"/>
  <c r="E130" i="3"/>
  <c r="F130" i="3"/>
  <c r="E131" i="3"/>
  <c r="F131" i="3"/>
  <c r="E132" i="3"/>
  <c r="F132" i="3"/>
  <c r="D101" i="3"/>
  <c r="C101" i="3" s="1"/>
  <c r="D102" i="3"/>
  <c r="C102" i="3" s="1"/>
  <c r="D103" i="3"/>
  <c r="C103" i="3" s="1"/>
  <c r="D104" i="3"/>
  <c r="C104" i="3" s="1"/>
  <c r="D105" i="3"/>
  <c r="C105" i="3" s="1"/>
  <c r="D106" i="3"/>
  <c r="C106" i="3" s="1"/>
  <c r="D107" i="3"/>
  <c r="C107" i="3" s="1"/>
  <c r="D108" i="3"/>
  <c r="C108" i="3" s="1"/>
  <c r="D109" i="3"/>
  <c r="C109" i="3" s="1"/>
  <c r="D110" i="3"/>
  <c r="C110" i="3" s="1"/>
  <c r="D111" i="3"/>
  <c r="C111" i="3" s="1"/>
  <c r="D112" i="3"/>
  <c r="C112" i="3" s="1"/>
  <c r="D113" i="3"/>
  <c r="C113" i="3" s="1"/>
  <c r="D114" i="3"/>
  <c r="C114" i="3" s="1"/>
  <c r="D115" i="3"/>
  <c r="C115" i="3" s="1"/>
  <c r="D116" i="3"/>
  <c r="C116" i="3" s="1"/>
  <c r="D117" i="3"/>
  <c r="C117" i="3" s="1"/>
  <c r="D118" i="3"/>
  <c r="C118" i="3" s="1"/>
  <c r="D119" i="3"/>
  <c r="C119" i="3" s="1"/>
  <c r="D120" i="3"/>
  <c r="C120" i="3" s="1"/>
  <c r="D121" i="3"/>
  <c r="C121" i="3" s="1"/>
  <c r="D122" i="3"/>
  <c r="C122" i="3" s="1"/>
  <c r="D123" i="3"/>
  <c r="C123" i="3" s="1"/>
  <c r="D124" i="3"/>
  <c r="C124" i="3" s="1"/>
  <c r="D125" i="3"/>
  <c r="C125" i="3" s="1"/>
  <c r="D126" i="3"/>
  <c r="C126" i="3" s="1"/>
  <c r="D127" i="3"/>
  <c r="C127" i="3" s="1"/>
  <c r="D128" i="3"/>
  <c r="C128" i="3" s="1"/>
  <c r="D129" i="3"/>
  <c r="C129" i="3" s="1"/>
  <c r="D130" i="3"/>
  <c r="C130" i="3" s="1"/>
  <c r="D131" i="3"/>
  <c r="C131" i="3" s="1"/>
  <c r="D132" i="3"/>
  <c r="C132" i="3" s="1"/>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2" i="3"/>
  <c r="A2" i="3"/>
  <c r="D3" i="3"/>
  <c r="C3" i="3" s="1"/>
  <c r="D4" i="3"/>
  <c r="C4" i="3" s="1"/>
  <c r="D5" i="3"/>
  <c r="C5" i="3" s="1"/>
  <c r="D6" i="3"/>
  <c r="C6" i="3" s="1"/>
  <c r="D7" i="3"/>
  <c r="C7" i="3" s="1"/>
  <c r="D8" i="3"/>
  <c r="C8" i="3" s="1"/>
  <c r="D9" i="3"/>
  <c r="C9" i="3" s="1"/>
  <c r="D10" i="3"/>
  <c r="C10" i="3" s="1"/>
  <c r="D11" i="3"/>
  <c r="C11" i="3" s="1"/>
  <c r="D12" i="3"/>
  <c r="C12" i="3" s="1"/>
  <c r="D13" i="3"/>
  <c r="C13" i="3" s="1"/>
  <c r="D14" i="3"/>
  <c r="C14" i="3" s="1"/>
  <c r="D15" i="3"/>
  <c r="C15" i="3" s="1"/>
  <c r="D16" i="3"/>
  <c r="C16" i="3" s="1"/>
  <c r="D17" i="3"/>
  <c r="C17" i="3" s="1"/>
  <c r="D18" i="3"/>
  <c r="C18" i="3" s="1"/>
  <c r="D19" i="3"/>
  <c r="C19" i="3" s="1"/>
  <c r="D20" i="3"/>
  <c r="C20" i="3" s="1"/>
  <c r="D21" i="3"/>
  <c r="C21" i="3" s="1"/>
  <c r="D22" i="3"/>
  <c r="C22" i="3" s="1"/>
  <c r="D23" i="3"/>
  <c r="C23" i="3" s="1"/>
  <c r="D24" i="3"/>
  <c r="C24" i="3" s="1"/>
  <c r="D25" i="3"/>
  <c r="C25" i="3" s="1"/>
  <c r="D26" i="3"/>
  <c r="C26" i="3" s="1"/>
  <c r="D27" i="3"/>
  <c r="C27" i="3" s="1"/>
  <c r="D28" i="3"/>
  <c r="C28" i="3" s="1"/>
  <c r="D29" i="3"/>
  <c r="C29" i="3" s="1"/>
  <c r="D30" i="3"/>
  <c r="C30" i="3" s="1"/>
  <c r="D31" i="3"/>
  <c r="C31" i="3" s="1"/>
  <c r="D32" i="3"/>
  <c r="C32" i="3" s="1"/>
  <c r="D33" i="3"/>
  <c r="C33" i="3" s="1"/>
  <c r="D34" i="3"/>
  <c r="C34" i="3" s="1"/>
  <c r="D35" i="3"/>
  <c r="C35" i="3" s="1"/>
  <c r="D36" i="3"/>
  <c r="C36" i="3" s="1"/>
  <c r="D37" i="3"/>
  <c r="C37" i="3" s="1"/>
  <c r="D38" i="3"/>
  <c r="C38" i="3" s="1"/>
  <c r="D39" i="3"/>
  <c r="C39" i="3" s="1"/>
  <c r="D40" i="3"/>
  <c r="C40" i="3" s="1"/>
  <c r="D41" i="3"/>
  <c r="C41" i="3" s="1"/>
  <c r="D42" i="3"/>
  <c r="C42" i="3" s="1"/>
  <c r="D43" i="3"/>
  <c r="C43" i="3" s="1"/>
  <c r="D44" i="3"/>
  <c r="C44" i="3" s="1"/>
  <c r="D45" i="3"/>
  <c r="C45" i="3" s="1"/>
  <c r="D47" i="3"/>
  <c r="C47" i="3" s="1"/>
  <c r="D48" i="3"/>
  <c r="C48" i="3" s="1"/>
  <c r="D49" i="3"/>
  <c r="C49" i="3" s="1"/>
  <c r="D50" i="3"/>
  <c r="C50" i="3" s="1"/>
  <c r="D51" i="3"/>
  <c r="C51" i="3" s="1"/>
  <c r="D52" i="3"/>
  <c r="C52" i="3" s="1"/>
  <c r="D53" i="3"/>
  <c r="C53" i="3" s="1"/>
  <c r="D54" i="3"/>
  <c r="C54" i="3" s="1"/>
  <c r="D55" i="3"/>
  <c r="C55" i="3" s="1"/>
  <c r="D56" i="3"/>
  <c r="C56" i="3" s="1"/>
  <c r="D57" i="3"/>
  <c r="C57" i="3" s="1"/>
  <c r="D58" i="3"/>
  <c r="C58" i="3" s="1"/>
  <c r="D59" i="3"/>
  <c r="C59" i="3" s="1"/>
  <c r="D60" i="3"/>
  <c r="C60" i="3" s="1"/>
  <c r="D61" i="3"/>
  <c r="C61" i="3" s="1"/>
  <c r="D62" i="3"/>
  <c r="C62" i="3" s="1"/>
  <c r="D63" i="3"/>
  <c r="C63" i="3" s="1"/>
  <c r="D64" i="3"/>
  <c r="C64" i="3" s="1"/>
  <c r="D65" i="3"/>
  <c r="C65" i="3" s="1"/>
  <c r="D66" i="3"/>
  <c r="C66" i="3" s="1"/>
  <c r="D68" i="3"/>
  <c r="C68" i="3" s="1"/>
  <c r="D69" i="3"/>
  <c r="C69" i="3" s="1"/>
  <c r="D70" i="3"/>
  <c r="C70" i="3" s="1"/>
  <c r="D72" i="3"/>
  <c r="C72" i="3" s="1"/>
  <c r="D73" i="3"/>
  <c r="C73" i="3" s="1"/>
  <c r="D74" i="3"/>
  <c r="C74" i="3" s="1"/>
  <c r="D75" i="3"/>
  <c r="C75" i="3" s="1"/>
  <c r="D76" i="3"/>
  <c r="C76" i="3" s="1"/>
  <c r="D77" i="3"/>
  <c r="C77" i="3" s="1"/>
  <c r="D78" i="3"/>
  <c r="C78" i="3" s="1"/>
  <c r="D79" i="3"/>
  <c r="C79" i="3" s="1"/>
  <c r="D80" i="3"/>
  <c r="C80" i="3" s="1"/>
  <c r="D81" i="3"/>
  <c r="C81" i="3" s="1"/>
  <c r="D82" i="3"/>
  <c r="C82" i="3" s="1"/>
  <c r="D83" i="3"/>
  <c r="C83" i="3" s="1"/>
  <c r="D84" i="3"/>
  <c r="C84" i="3" s="1"/>
  <c r="D85" i="3"/>
  <c r="C85" i="3" s="1"/>
  <c r="D86" i="3"/>
  <c r="C86" i="3" s="1"/>
  <c r="D87" i="3"/>
  <c r="C87" i="3" s="1"/>
  <c r="D88" i="3"/>
  <c r="C88" i="3" s="1"/>
  <c r="D89" i="3"/>
  <c r="C89" i="3" s="1"/>
  <c r="D92" i="3"/>
  <c r="C92" i="3" s="1"/>
  <c r="D93" i="3"/>
  <c r="C93" i="3" s="1"/>
  <c r="D94" i="3"/>
  <c r="C94" i="3" s="1"/>
  <c r="D96" i="3"/>
  <c r="C96" i="3" s="1"/>
  <c r="D97" i="3"/>
  <c r="C97" i="3" s="1"/>
  <c r="D98" i="3"/>
  <c r="C98" i="3" s="1"/>
  <c r="D99" i="3"/>
  <c r="C99" i="3" s="1"/>
  <c r="D100" i="3"/>
  <c r="C100" i="3" s="1"/>
  <c r="D2" i="3"/>
  <c r="C2" i="3" s="1"/>
</calcChain>
</file>

<file path=xl/sharedStrings.xml><?xml version="1.0" encoding="utf-8"?>
<sst xmlns="http://schemas.openxmlformats.org/spreadsheetml/2006/main" count="2385" uniqueCount="530">
  <si>
    <t>NOMBRE</t>
  </si>
  <si>
    <t>FECHA</t>
  </si>
  <si>
    <t>Dependencia/Gerencia/Depa</t>
  </si>
  <si>
    <t>Nombre_Secretario/Dir/Gere</t>
  </si>
  <si>
    <t>Cargo_específico</t>
  </si>
  <si>
    <t>a)_Comuna_1:</t>
  </si>
  <si>
    <t>b)_Logro_1:</t>
  </si>
  <si>
    <t>c)_Cifras_1</t>
  </si>
  <si>
    <t>a)_Comuna_2:</t>
  </si>
  <si>
    <t>b)_Logro_2:</t>
  </si>
  <si>
    <t>c)_Cifras_2</t>
  </si>
  <si>
    <t>a)_Comuna_3:</t>
  </si>
  <si>
    <t>b)_Logro_3:</t>
  </si>
  <si>
    <t>c)_Cifras_3</t>
  </si>
  <si>
    <t>a)_Comuna_4:</t>
  </si>
  <si>
    <t>b)_Logro_4:</t>
  </si>
  <si>
    <t>c)_Cifras_4</t>
  </si>
  <si>
    <t>a)_Comuna_5:</t>
  </si>
  <si>
    <t>b)_Logro_5:</t>
  </si>
  <si>
    <t>c)_Cifras_5</t>
  </si>
  <si>
    <t>a)_Comuna_6:</t>
  </si>
  <si>
    <t>b)_Logro_6:</t>
  </si>
  <si>
    <t>c)_Cifras_6</t>
  </si>
  <si>
    <t>a)_Comuna_7:</t>
  </si>
  <si>
    <t>b)_Logro_7:</t>
  </si>
  <si>
    <t>c)_Cifras_7</t>
  </si>
  <si>
    <t>a)_Comuna_8:</t>
  </si>
  <si>
    <t>b)_Logro_8:</t>
  </si>
  <si>
    <t>c)_Cifras_8</t>
  </si>
  <si>
    <t>a)_Comuna_9:</t>
  </si>
  <si>
    <t>b)_Logro_9:</t>
  </si>
  <si>
    <t>c)_Cifras_9</t>
  </si>
  <si>
    <t>a)_Comuna_10:</t>
  </si>
  <si>
    <t>b)_Logro_10:</t>
  </si>
  <si>
    <t>c)_Cifras_10</t>
  </si>
  <si>
    <t>a)_Comuna_11:</t>
  </si>
  <si>
    <t>b)_Logro_11:</t>
  </si>
  <si>
    <t>c)_Cifras_11</t>
  </si>
  <si>
    <t>a)_Comuna_12:</t>
  </si>
  <si>
    <t>b)_Logro_12:</t>
  </si>
  <si>
    <t>c)_Cifras_12</t>
  </si>
  <si>
    <t>a)_Comuna_13:</t>
  </si>
  <si>
    <t>b)_Logro_13:</t>
  </si>
  <si>
    <t>c)_Cifras_13</t>
  </si>
  <si>
    <t>a)_Comuna_14:</t>
  </si>
  <si>
    <t>b)_Logro_14:</t>
  </si>
  <si>
    <t>c)_Cifras_14</t>
  </si>
  <si>
    <t>a)_Comuna_15:</t>
  </si>
  <si>
    <t>b)_Logro_15:</t>
  </si>
  <si>
    <t>c)_Cifras_15</t>
  </si>
  <si>
    <t>a)_Comuna_16:</t>
  </si>
  <si>
    <t>b)_Logro_16:</t>
  </si>
  <si>
    <t>c)_Cifras_16</t>
  </si>
  <si>
    <t>a)_Comuna_17:</t>
  </si>
  <si>
    <t>b)_Logro_17:</t>
  </si>
  <si>
    <t>c)_Cifras_17</t>
  </si>
  <si>
    <t>a)_Comuna_18:</t>
  </si>
  <si>
    <t>b)_Logro_18:</t>
  </si>
  <si>
    <t>c)_Cifras_18</t>
  </si>
  <si>
    <t>a)_Comuna_19:</t>
  </si>
  <si>
    <t>b)_Logro_19:</t>
  </si>
  <si>
    <t>c)_Cifras_19</t>
  </si>
  <si>
    <t>a)_Comuna_20:</t>
  </si>
  <si>
    <t>b)_Logro_20:</t>
  </si>
  <si>
    <t>c)_Cifras_20</t>
  </si>
  <si>
    <t>a)_Comuna_21:</t>
  </si>
  <si>
    <t>b)_Logro_21:</t>
  </si>
  <si>
    <t>c)_Cifras_21</t>
  </si>
  <si>
    <t>Gerencia de Diversidades Sexuales e Identidades de Género</t>
  </si>
  <si>
    <t>10-LA CANDELARIA</t>
  </si>
  <si>
    <t>06-DOCE DE OCTUBRE</t>
  </si>
  <si>
    <t>90-SANTA ELENA</t>
  </si>
  <si>
    <t>14-EL POBLADO</t>
  </si>
  <si>
    <t>Departamento Administrativo de Planeación</t>
  </si>
  <si>
    <t>Sergio Andrés López Muñoz</t>
  </si>
  <si>
    <t>01-POPULAR</t>
  </si>
  <si>
    <t>N/A</t>
  </si>
  <si>
    <t>Secretaría de las Mujeres</t>
  </si>
  <si>
    <t>Juliana Martínez Londoño</t>
  </si>
  <si>
    <t>Secretaria de las Mujeres</t>
  </si>
  <si>
    <t>07-ROBLEDO</t>
  </si>
  <si>
    <t>Secretaría de Desarrollo Económico</t>
  </si>
  <si>
    <t>Alejandro Arias García</t>
  </si>
  <si>
    <t>Secretario de Despacho</t>
  </si>
  <si>
    <t>13-SAN JAVIER</t>
  </si>
  <si>
    <t>Sin cifras</t>
  </si>
  <si>
    <t>04-ARANJUEZ</t>
  </si>
  <si>
    <t>11-LAURELES</t>
  </si>
  <si>
    <t>08-VILLA HERMOSA</t>
  </si>
  <si>
    <t>sin cifras</t>
  </si>
  <si>
    <t>05-CASTILLA</t>
  </si>
  <si>
    <t>Secretaría de Gestión y Control Territorial</t>
  </si>
  <si>
    <t>Carlos Mario Montoya Serna</t>
  </si>
  <si>
    <t>09-BUENOS AIRES</t>
  </si>
  <si>
    <t>80 Metros cuadrados de espacio público recuperados mediante 1 proceso de remoción.</t>
  </si>
  <si>
    <t>60-SAN CRISTOBAL</t>
  </si>
  <si>
    <t>Secretaría de Medio Ambiente</t>
  </si>
  <si>
    <t>Juliana Colorado Jaramillo</t>
  </si>
  <si>
    <t>Secretaria de Despacho</t>
  </si>
  <si>
    <t>03-MANRIQUE</t>
  </si>
  <si>
    <t>16-BELEN</t>
  </si>
  <si>
    <t>70-ALTAVISTA</t>
  </si>
  <si>
    <t>50-PALMITAS</t>
  </si>
  <si>
    <t>Secretaría General</t>
  </si>
  <si>
    <t>Secretaría de Evaluación y Control</t>
  </si>
  <si>
    <t>Juan David Calle Tobón</t>
  </si>
  <si>
    <t>-</t>
  </si>
  <si>
    <t>Secretaría de Seguridad y Convivencia</t>
  </si>
  <si>
    <t>José Gerardo Acevedo Ossa</t>
  </si>
  <si>
    <t>02-SANTA CRUZ</t>
  </si>
  <si>
    <t>12-LA AMERICA</t>
  </si>
  <si>
    <t>15-GUAYABAL</t>
  </si>
  <si>
    <t>80-SAN ANTONIO DE PRADO</t>
  </si>
  <si>
    <t>Secretaría de la Juventud</t>
  </si>
  <si>
    <t>Alejandro Matta Herrera</t>
  </si>
  <si>
    <t>Gerencia del Centro</t>
  </si>
  <si>
    <t>Mónica María Pabón Carvajal</t>
  </si>
  <si>
    <t>Gerente</t>
  </si>
  <si>
    <t>Gerencia de Etnias</t>
  </si>
  <si>
    <t xml:space="preserve">Farlin Perea Renteria </t>
  </si>
  <si>
    <t xml:space="preserve">Gerente Étnica </t>
  </si>
  <si>
    <t>Secretaría de Educación</t>
  </si>
  <si>
    <t>Secretaría de Gestión Humana y Servicio a la Ciudadanía</t>
  </si>
  <si>
    <t>Buen Comienzo</t>
  </si>
  <si>
    <t>Secretaria de Innovación Digital</t>
  </si>
  <si>
    <t>Juan Sebastían González Flórez</t>
  </si>
  <si>
    <t>Secretaría de Inclusión, Familia y Derechos Humanos</t>
  </si>
  <si>
    <t>Gerencia de Corregimientos</t>
  </si>
  <si>
    <t xml:space="preserve">CRISTIAN CAMILO SANCHEZ VASQUEZ </t>
  </si>
  <si>
    <t xml:space="preserve">GERENTE DE CORREGIMIENTOS </t>
  </si>
  <si>
    <t>Secretaría de Cultura Ciudadanía</t>
  </si>
  <si>
    <t>Álvaro Narváez</t>
  </si>
  <si>
    <t>Secretaría de Infraestructura Física</t>
  </si>
  <si>
    <t>Secretaría de Movilidad</t>
  </si>
  <si>
    <t>CARLOS MARIO MEJIA MUNERA</t>
  </si>
  <si>
    <t xml:space="preserve">Secretario de Despacho. </t>
  </si>
  <si>
    <t>.</t>
  </si>
  <si>
    <t>Secretaría de Salud</t>
  </si>
  <si>
    <t>Jennifer Andree Uribe Montoya</t>
  </si>
  <si>
    <t>Departamento Administrativo de Gestión del Riesgo de Desastres</t>
  </si>
  <si>
    <t>Directora</t>
  </si>
  <si>
    <t>Sin dato</t>
  </si>
  <si>
    <t>Secretaría de Participación Ciudadana</t>
  </si>
  <si>
    <t>Secretaría de Servicios y Suministros</t>
  </si>
  <si>
    <t>Karen Bibiana Delgado Manjarres</t>
  </si>
  <si>
    <t>Comuna</t>
  </si>
  <si>
    <t>Nombre</t>
  </si>
  <si>
    <t>Fecha</t>
  </si>
  <si>
    <t>Dependencia</t>
  </si>
  <si>
    <t>Logro</t>
  </si>
  <si>
    <t>Cifras</t>
  </si>
  <si>
    <t>Ordenador</t>
  </si>
  <si>
    <t>Cargo</t>
  </si>
  <si>
    <t>Cod_dep</t>
  </si>
  <si>
    <t>cod_comuna</t>
  </si>
  <si>
    <t xml:space="preserve">Secretaria de Despacho- Secretaría de Salud </t>
  </si>
  <si>
    <t xml:space="preserve">Atenciones medellín me cuida:
Dimensión Vida Saludable:  20
	Componente Salud Bucal: 139
	Dimensión Salud Mental : 85
	Dimensión Sexualidad, derechos sexuales y derechos reproductivos: 52
	Dimensión Seguridad Alimentaria y Nutricional:  75
</t>
  </si>
  <si>
    <t xml:space="preserve">Medellín me cuida:
Dimensión Vida Saludable:  104 
	Componente Salud Bucal: 115 
	Dimensión Salud Mental : 74
	Dimensión Sexualidad, derechos sexuales y derechos reproductivos: 36
	Dimensión Seguridad Alimentaria y Nutricional: 177
</t>
  </si>
  <si>
    <t xml:space="preserve">Dimensión Vida Saludable:  57
		Dimensión Salud Mental : 83
	Dimensión Sexualidad, derechos sexuales y derechos reproductivos: 15
	Dimensión Seguridad Alimentaria y Nutricional: 305
</t>
  </si>
  <si>
    <t xml:space="preserve">Atenciones realizadas Medellín me cuida
Dimensión Vida Saludable:  19
	Componente Salud Bucal: 162
	Dimensión Salud Mental : 95
	Dimensión Sexualidad, derechos sexuales y derechos reproductivos: 6
	Dimensión Seguridad Alimentaria y Nutricional: 6
</t>
  </si>
  <si>
    <t xml:space="preserve">Atenciones Medellín me cuida
	Dimensión Salud Mental : 14
	Dimensión Sexualidad, derechos sexuales y derechos reproductivos: 0
	Dimensión Seguridad Alimentaria y Nutricional: 6
</t>
  </si>
  <si>
    <t xml:space="preserve">Dimensión Vida Saludable:  146
	Componente Salud Bucal:  30
	Dimensión Salud Mental : 55
	Dimensión Seguridad Alimentaria y Nutricional: 242
</t>
  </si>
  <si>
    <t xml:space="preserve">Dimensión Vida Saludable:  7
	Componente Salud Bucal: 108
	Dimensión Salud Mental : 21
	Dimensión Sexualidad, derechos sexuales y derechos reproductivos: 10
	Dimensión Seguridad Alimentaria y Nutricional: 47
</t>
  </si>
  <si>
    <t xml:space="preserve">Atenciones realizadas Medellín me cuida:
Dimensión Vida Saludable:  20
Dimensión Salud Mental : 70
Dimensión Sexualidad, derechos sexuales y derechos reproductivos: 23
Dimensión Seguridad Alimentaria y Nutricional: 63
</t>
  </si>
  <si>
    <t xml:space="preserve">Atenciones Medellín me cuida
Dimensión Vida Saludable:  4
	Dimensión Salud Mental : 15
	Dimensión Sexualidad, derechos sexuales y derechos reproductivos: 21
	Dimensión Seguridad Alimentaria y Nutricional: 0
</t>
  </si>
  <si>
    <t xml:space="preserve">Atenciones realizadas Medellín me cuida
Dimensión Vida Saludable:  64
Dimensión Salud Mental : 83
Dimensión Sexualidad, derechos sexuales y derechos reproductivos: 110
Dimensión Seguridad Alimentaria y Nutricional: 12
</t>
  </si>
  <si>
    <t xml:space="preserve">
Actividades realizadas por Medellín de cuida
	Dimensión Salud Mental : 3
		</t>
  </si>
  <si>
    <t xml:space="preserve">Actividades realizadas Medellín me cuida
Dimensión Vida Saludable:  2
Dimensión Salud Mental : 15
Dimensión Sexualidad, derechos sexuales y derechos reproductivos: 12
</t>
  </si>
  <si>
    <t xml:space="preserve">Actividades Medellín me cuida 
Dimensión Vida Saludable:  44
Dimensión Salud Mental : 71
Dimensión Sexualidad, derechos sexuales y derechos reproductivos: 18
Dimensión Seguridad Alimentaria y Nutricional: 118
</t>
  </si>
  <si>
    <t xml:space="preserve">Actividades Medellín me cuida
Dimensión Salud Mental : 2
</t>
  </si>
  <si>
    <t xml:space="preserve">Actividades realizadas Medellín me cuida
Dimensión Salud Mental : 1
</t>
  </si>
  <si>
    <t xml:space="preserve">Actividades realizadas Medellín me cuida
Dimensión Vida Saludable:  6 
Dimensión Salud Mental : 5
</t>
  </si>
  <si>
    <t xml:space="preserve">Actividades Medellín me cuida
Dimensión Vida Saludable:  12
Componente Salud Bucal: 112
Dimensión Salud Mental : 12
Dimensión Sexualidad, derechos sexuales y derechos reproductivos: 2
</t>
  </si>
  <si>
    <t xml:space="preserve">Actividades Medellín me cuida
Dimensión Vida Saludable:  27
		Dimensión Salud Mental : 45
	Dimensión Sexualidad, derechos sexuales y derechos reproductivos: 7
	Dimensión Seguridad Alimentaria y Nutricional: 8 
</t>
  </si>
  <si>
    <t xml:space="preserve">Actividades Medellín me cuida
Dimensión Vida Saludable:  23
Dimensión Salud Mental : 9
</t>
  </si>
  <si>
    <t xml:space="preserve">Actividades Medellín me cuida
Dimensión Vida Saludable:  21  
Componente Salud Bucal: 83
Dimensión Salud Mental : 81
Dimensión Sexualidad, derechos sexuales y derechos reproductivos: 26
Dimensión Seguridad Alimentaria y Nutricional: 49
</t>
  </si>
  <si>
    <t xml:space="preserve">Actividades Medellín me cuida
Dimensión Vida Saludable:  23
Dimensión Sexualidad, derechos sexuales y derechos reproductivos: 0
Dimensión Seguridad Alimentaria y Nutricional: 23
</t>
  </si>
  <si>
    <t>Patricia Llano Obando</t>
  </si>
  <si>
    <t>Gerenta de diversidades</t>
  </si>
  <si>
    <t>Presentar la gerencia de diversidades sexuales, realizar un plan de trabajo para capacitar lideres y lideresas de la comunidad, articular propuestas de procesos para la población diversa de la comuna.</t>
  </si>
  <si>
    <t>10 personas, todos y todas lideres de la comuna.</t>
  </si>
  <si>
    <t>Articulación con municipios del área metropolitana para apoyar en el fortalecimiento de los procesos municipales con enfoque diferencial y de genero.</t>
  </si>
  <si>
    <t>articulación con la secretaria de las mujeres de la estrella y la secretaria de inclusión del municipio de Bello</t>
  </si>
  <si>
    <t>Posibilitar la culminación  del bachillerato a  integrantes de la población LGBTIQ+ a traves del enlace de la secretaria de educación</t>
  </si>
  <si>
    <t xml:space="preserve">13 personas identificadas. </t>
  </si>
  <si>
    <t>articular acciones para el mes de septiembre y octubre, con el parque biblioteca del corregimiento, se espera fortalecer dichas acciones mediante la articulación con la gerencia de corregimientos.</t>
  </si>
  <si>
    <t>Fortalecimiento a los procesos comunitarios.</t>
  </si>
  <si>
    <t>Atención a 50 personas de la población entre el proceso de acompañamiento psicológico y atención con los escuchaderos.  Impactar mas personas de la población y posicionar los escuchaderos como estrategia de la comuna, el cual es descentralizado y llega a distintas personas de la zona .</t>
  </si>
  <si>
    <t>50 personas en atención de la población LGBTIQ para apoyar sus procesos de salud mental</t>
  </si>
  <si>
    <t>Activación del centro para diversidad</t>
  </si>
  <si>
    <t>25 personas de distintas comunas de la ciudad, el 80·% son personas que llega por primera vez al espacio y hacen parte de la población.</t>
  </si>
  <si>
    <t>En el marco del proyecto La escuela encuentra a las mujeres, 56 mujeres del corregimiento de San Antonio de Prado recibieron medidas afirmativas para favorecer su permanencia en la escuela.</t>
  </si>
  <si>
    <t>56 mujeres de la Institución Educativa COMULSAP: 26 en la sede Los patios y 30 en la Sede CORVIDE.</t>
  </si>
  <si>
    <t>Juan Guillermo Berrío Londoño.</t>
  </si>
  <si>
    <t>Secretario de Participación Ciudadana.</t>
  </si>
  <si>
    <t>"En los encuentros sectoriales, se movilizaron aproximadamente 3000 personas en 18 de las 21 Comunas y Corregimientos de la Ciudad.
Comuna 1, Popular: 7 Encuentros sectoriales en el marco de las elecciones de los CCCP
2/08/2021 Jóvenes
3/08/2021 Barrismo
4/08/2021 Afrodescendiente
5/08/2021 Comercio
6/08/2021 Infancia y Adolescencia
7/08/2021 Cultura
7/08/2021 Recreación y Deporte</t>
  </si>
  <si>
    <t xml:space="preserve">""Comuna 2, Santa Cruz: 13 Encuentros sectoriales en el marco de las elecciones de los CCCP 7/08/2021 Adulto Mayor 7/08/2021 Comunicaciones 7/08/2021 Familia y Seguridad Alimentaria 7/08/2021 Mujeres 7/08/2021 Infancia y Adolescencia 7/08/2021 Economía formal e informal 7/08/2021 Víctimas 8/08/2021 Cultura 8/08/2021 COPACOS 8/08/2021 Personas con Discapacidad 8/08/2021 Infraestructura y vivienda 8/08/2021 Salud 8/08/2021 Asociaciones de usuarios ""
</t>
  </si>
  <si>
    <t xml:space="preserve">""Comuna 3, Manrique: 18 Encuentros sectoriales en el marco de las elecciones de los CCCP 7/08/2021 Organizaciones sociales 7/08/2021 Movilidad 7/08/2021 Ecológico Ambiental 7/08/2021 I.E Públicas y Privadas 7/08/2021 Mujeres 7/08/2021 Salud 7/08/2021 Infancia y Adolescencia 7/08/2021 Comunicaciones 7/08/2021 Jóvenes 7/08/2021 LGTBI 7/08/2021 Cultura 7/08/2021 Artistas 7/08/2021 EGRESADOS UNIVERSITARIOS 7/08/2021 Estudiantes universitarios 7/08/2021 Veedurías 7/08/2021 DDHH 7/08/2021 Infraestructura 7/08/2021 ONG ""
</t>
  </si>
  <si>
    <t xml:space="preserve">""Comuna 4, Aranjuez: 11 Encuentros sectoriales en el marco de las elecciones de los CCCP 2/08/2021 Veedurías 2/08/2021 Barrismo 3/08/2021 Recreación y Deporte 3/08/2021 Personas con Discapacidad 4/08/2021 ONG 4/08/2021 Mujeres 4/08/2021 Madres comunitarias 5/08/2021 Salud 5/08/2021 Gestión del Riesgo 6/08/2021 I.E Públicas y Privadas 6/08/2021 Afrodescendiente ""
</t>
  </si>
  <si>
    <t xml:space="preserve">""Comuna 5, Castilla: 7 Encuentros sectoriales en el marco de las elecciones de los CCCP 2/08/2021 Organizaciones basadas en la fe 2/08/2021 Infraestructura 3/08/2021 Afrodescendiente 3/08/2021 Mujeres 3/08/2021 Personas con Discapacidad 4/08/2021 DDHH 4/08/2021 Gremios Económicos ""
</t>
  </si>
  <si>
    <t xml:space="preserve">""Comuna 6, 12 de octubre: 15 Encuentros sectoriales en el marco de las elecciones de los CCCP 3/08/2021 Estudiantes universitarios 3/08/2021 Cultura 3/08/2021 Recreación y Deporte 4/08/2021 Ecológico Ambiental 4/08/2021 Comunicaciones 4/08/2021ONG  5/08/2021 Universidades 5/08/2021 Jóvenes 5/08/2021 Personas con Discapacidad 6/08/2021 Mujeres 6/08/2021 Infancia y Adolescencia 6/08/2021 Salud 7/08/2021 Afrodescendiente 7/08/2021 Indígenas 7/08/2021 Organizaciones basadas en la fe ""
</t>
  </si>
  <si>
    <t xml:space="preserve">""Comuna 7, Robledo 17:  Encuentros sectoriales en el marco de las elecciones de los CCCP 3/08/2021 Víctimas 3/08/2021 Ecológico Ambiental 4/08/2021 Nodos 3 4/08/2021 DDHH 4/08/2021 Nodos 1 5/08/2021 Recreación y Deporte 5/08/2021 Nodos 5 6/08/2021 Nodos 4 6/08/2021 Adulto Mayor 6/08/2021 Cultura 6/08/2021 Comunicaciones 6/08/2021 Barrismo 7/08/2021 Veedurías 7/08/2021 Infancia y Adolescencia 7/08/2021 ONG 7/08/2021 Nodos 6 8/08/2021 Afrodescendiente ""
</t>
  </si>
  <si>
    <t xml:space="preserve">""Comuna 8, Villa Hermosa: 4 Encuentros sectoriales en el marco de las elecciones de los CCCP: 2/08/2021 DDHH 3/08/2021 Paz, no Violencia y Víctimas 4/08/2021 Vivienda y Hábitat 5/08/2021 ONG ""
</t>
  </si>
  <si>
    <t xml:space="preserve">""Comuna 9, Buenos Aires: 13 Encuentros sectoriales en el marco de las elecciones de los CCCP 2/08/2021 COPACOS 3/08/2021 Gestión del Riesgo 6/08/2021 Mujeres 4/08/2021 Madres comunitarias 4/08/2021 DDHH 5/08/2021 Recreación y Deporte 5/08/2021 ONG 6/08/2021 Universidades 6/08/2021 Vivienda y Hábitat 7/08/2021 Personas con Discapacidad 7/08/2021 Afrodescendiente 7/08/2021 Víctimas 7/08/2021 Cultura ""
</t>
  </si>
  <si>
    <t xml:space="preserve">""Comuna 10, La Candelaria: 7 Encuentros sectoriales en el marco de las elecciones de los CCCP 2/08/2021 LGTBI 3/08/2021 Indígenas 3/08/2021 Afrodescendiente 4/08/2021 Habitante de calle 4/08/2021 Organizaciones basadas en la fe 5/08/2021 Comercio 7/08/2021 Barrismo ""
</t>
  </si>
  <si>
    <t xml:space="preserve">""Comuna 11, Laureles – Estadio: 7 Encuentros sectoriales en el marco de las elecciones de los CCCP 2/08/2021 Paz y no violencia 2/08/2021 Construcción 5/08/2021 Ecológico Ambiental 5/08/2021 Animalismo 6/08/2021 Memoria y Patrimonio 6/08/2021 Cultura 6/08/2021 DDHH ""
</t>
  </si>
  <si>
    <t xml:space="preserve">""Comuna 14, El Poblado: 3 Encuentros sectoriales en el marco de las elecciones de los CCCP 3/08/2021Cultura 3/08/2021 Artistas 3/08/2021 Infraestructura ""
</t>
  </si>
  <si>
    <t xml:space="preserve">""Comuna 15, Guayabal: 20 Encuentros sectoriales en el marco de las elecciones de los CCCP 2/08/2021 Organizaciones basadas en la fe 2/08/2021 LGTBI 2/08/2021 ONG 3/08/2021 Empresarial Económico 3/08/2021 Habitante de calle 3/08/2021 Barrismo 4/08/2021 Mujeres 4/08/2021 Personas con Discapacidad 4/08/2021 Comunicaciones 5/08/2021 Organizaciones sociales 5/08/2021 Vivienda y Hábitat 6/08/2021 Cultura 6/08/2021 Recreación y Deporte y nuevas tendencias DUNT 7/08/2021 Estudiantes universitarios 7/08/2021 Educación - Entorno Escolar 7/08/2021 Jóvenes 8/08/2021 Ecológico Ambiental 8/08/2021 Recuperadores 8/08/2021 Indígenas 8/08/2021 Transporte y movilidad ""
</t>
  </si>
  <si>
    <t xml:space="preserve">""Comuna 16, Belén: 17 Encuentros sectoriales en el marco de las elecciones de los CCCP 2/08/2021 Construcción 2/08/2021 LGTBI 2/08/2021 Nodo 2 3/08/2021 Mujeres 3/08/2021 Comercio 3/08/2021 Afrodescendiente 3/08/2021 Industria 3/08/2021 Actividades económicas 4/08/2021 Comunicaciones 4/08/2021 I.E Públicas y Privadas 4/08/2021 Universidades 5/08/2021 Salud 5/08/2021 ONG 5/08/2021 Personas con Discapacidad 6/08/2021 Jóvenes 6/08/2021 Estudiantes universitarios  6/08/2021 Vivienda y Hábitat ""
</t>
  </si>
  <si>
    <t xml:space="preserve">""Corregimiento 50, San Sebastián de Palmitas:  5 Encuentros sectoriales en el marco de las elecciones de los CCCP 4/08/2021 Infancia y Adolescencia 6/08/2021 Recreación y Deporte 6/08/2021 Salud 6/08/2021 Adulto Mayor 6/08/2021 Personas con Discapacidad ""
</t>
  </si>
  <si>
    <t xml:space="preserve">""Corregimiento 70, Altavista: 10 Encuentros sectoriales en el marco de las elecciones de los CCCP 5/08/2021 Acueductos veredales 3/08/2021 Estudiantes universitarios 3/08/2021 Víctimas 3/08/2021 Emprendimiento 4/08/2021 Adulto Mayor 6/08/2021 Infancia y Adolescencia 6/08/2021 Personas con Discapacidad 7/08/2021 Jóvenes 7/08/2021 TERRITORIAL (ZONA, CUENCA, NODO, VEREDA, BARRIO) 7/08/2021 Microcuenca Centralidad ""
</t>
  </si>
  <si>
    <t xml:space="preserve">""Corregimiento 80, San Antonio de Prado: 20 Encuentros sectoriales en el marco de las elecciones de los CCCP 2/08/2021 Construcción e Industria 2/08/2021 Juntas de vivienda comunitaria 2/08/2021 Comercio 3/08/2021 Organizaciones basadas en la fe 3/08/2021 Mujeres 3/08/2021 Personas con Discapacidad 4/08/2021 Indígenas 4/08/2021 Víctimas 4/08/2021 Paz No Violencia y DDHH 5/08/2021 Actividades económicas 5/08/2021 Salud 5/08/2021 Economía informal 6/08/2021 Campesinos 6/08/2021 Jóvenes 6/08/2021 Nodo 5 7/08/2021 Nodo 1 7/08/2021 Nodo 2 7/08/2021 Nodo 3 7/08/2021 Nodo 4 5/08/2021 Adulto Mayor ""
</t>
  </si>
  <si>
    <t xml:space="preserve">""Corregimiento 90, Santa Elena: 9 Encuentros sectoriales en el marco de las elecciones de los CCCP 3/08/2021 Turismo 3/08/2021 Vereda Piedra Gorda 3/08/2021 I.E Públicas y Privadas 4/08/2021 Mujeres 4/08/2021 Personas con Discapacidad 4/08/2021 Cultura 5/08/2021 Movilidad  5/08/2021 Transporte 6/08/2021 Vereda Barro Blanco ""
</t>
  </si>
  <si>
    <t>Se les dicta una charla a los comerciantes de la noche (Bares), de la comuna 1, por solicitud de un líder de la zona, donde se socializa la línea de crédito del Banco de las Oportunidades y la línea de crédito Medellín Cuida mi Negocio (Línea de crédito para Confeccionistas, Bares y Restaurantes), que se tiene en convenio con la CFA- Cooperativa Financiera de Antioquia.</t>
  </si>
  <si>
    <t>Desde el Banco de las  Oportunidades se participó en el Consejo Comunal y Corregimental de Planeación- CCCP en la comuna 16 (Belén)  aportando sobre la temática “Actividad Económica”</t>
  </si>
  <si>
    <t>Desde el Banco de las  Oportunidades se participó en el Consejo Comunal y Corregimental de Planeación- CCCP en la comuna 80 (Corregimiento San Antonio de Prado), aportando sobre la temática “Actividad Económica”</t>
  </si>
  <si>
    <t xml:space="preserve">Se realizó la gestión y logística necesarias para participar en la oferta de servicios del ISVIMED el día 10 de agosto, que contó con la participación de la Oficina Pública del Empleo - OPE y toda la mesa institucional de la comuna 4 en el parque de Aranjuez </t>
  </si>
  <si>
    <t>Se realiza logística para el evento “Bazar Vía Primavera” donde se vincularán algunos empresarios que hacen parte de la estrategia Compra Hecho en Medellín, la cual se llevará a cabo el 14 de agosto, evento que se desarrollará en la comuna 14 Poblado, con la corporación vía primavera. Este evento estará apoyado por la Secretaría de Desarrollo Económico.</t>
  </si>
  <si>
    <t>Secretario de Innovación Digital</t>
  </si>
  <si>
    <t>Avance en la instalación de piloto de Autopista Digital</t>
  </si>
  <si>
    <t>Hogares: 595,359
Comunas: 13</t>
  </si>
  <si>
    <t>Servicios de conectividad a Internet mediante Prueba Piloto del servicio White Space</t>
  </si>
  <si>
    <t>4 hogares (16 personas)</t>
  </si>
  <si>
    <t xml:space="preserve">Proceso de Remoción: Permite la recuperación de espacio público para la ciudadanía, ejerciendo el control territorial. </t>
  </si>
  <si>
    <t>30 Metros cuadrados de espacio público recuperados mediante 1 proceso de remoción.</t>
  </si>
  <si>
    <t>10 Metros cuadrados de espacio público recuperados mediante 1 proceso de remoción.</t>
  </si>
  <si>
    <t>595 Metros cuadrados de espacio público recuperados mediante 10 procesos de remoción.</t>
  </si>
  <si>
    <t>Proceso de Remoción: Permite la recuperación de espacio público para la ciudadanía, ejerciendo el control territorial.</t>
  </si>
  <si>
    <t xml:space="preserve"> 223 Metros cuadrados de espacio público recuperados mediante 7 procesos de remoción.</t>
  </si>
  <si>
    <t>182 Metros cuadrados de espacio público recuperados mediante 8 procesos de remoción.</t>
  </si>
  <si>
    <t>358 Metros cuadrados de espacio público recuperados mediante 6 procesos de remoción.</t>
  </si>
  <si>
    <t xml:space="preserve">Alumbrado Público: Se puso en funcionamiento el alumbrado público del Cerro de las Tres Cruces. </t>
  </si>
  <si>
    <t>Secretario Seguridad y Convivencia</t>
  </si>
  <si>
    <t xml:space="preserve">-	Plan parques
-	Puesto de control
-	Se realiza visitas de tipo operativo a comercio nocturno en el barrio La Esperanza, se tiene como objetivo principal la legalización y formalización de los mismos, se logra que dos de ellos tengan documentación al día y 4 parcialmente, teniendo lo documentos faltantes en trámite, además de lograr que se mejore el ruido en la zona y la sana convivencia entre los vecinos aledaños.
-	Se inicia proceso de ornato en la estación de Metrocable Popular, logrando reducir las zonas inseguras por sus terrenos abandonados, ahora están despoblados de la maleza, permitiendo mejor visibilidad para los cuadrantes de vigilancia, además la comunidad se apropia del espacio para  los consumidores no permanezcan en el lugar.
-	Junto a Policía se realiza operativo de control de zonas seguras, obteniendo 2 capturas por ley 30.
-	El 6 de agosto en el sector Nuevo Horizonte, se realizó taller de formación en competencias a familias cuyo propósito fue fortalecer habilidades para la vida. 
</t>
  </si>
  <si>
    <t xml:space="preserve">El 6 de agosto en el sector Nuevo Horizonte, se realizó taller de formación en competencias a familias cuyo propósito fue fortalecer habilidades para la vida. Personas impactadas: 40 </t>
  </si>
  <si>
    <t xml:space="preserve">-	Se realiza encuentro con directivas de entorno protector, jefe de núcleo, de la secretaria de Educación, PRECI con el objetivo de generar estrategias de prevención de consumo estupefacientes, violencias NNAJ, y violencia intrafamiliar identificadas como riesgo social.
-	Se realizan 2 activaciones comunitarias, fortaleciendo las campañas contra la violencia VIF y la Violencia NNAJ, con el objetivo de conocer y reflexionar en torno al derecho a una vida libre de violencia, las diferentes formas de violencias contra las mujeres, violencias NNAJ, sus mecanismos de prevención y atención como instrumentos útiles en la defensa de la vida.  Estas actividades se articulan con las Secretarías de Desarrollo Económico, Juventud,  Gestión control territorial y PRECI.
-	El 6 de agosto del 2021 se dio apertura al servicio del SISBEN en la Casa de Justicia Villa del Socorro para generar una atención necesaria y presencial a la comunidad.
-	El 6 de agosto el equipo del programa Medellín Convive la Noche visitó establecimientos con actividad económica "venta y consumo de licor” que buscan ingresar al programa. En estas visitas se sensibiliza a los comerciantes con la estrategia "Parche Seguro" la cual busca incentivar a los propietarios de los establecimientos en las buenas prácticas de autocuidado y legalidad en el marco de la reactivación económica.
-	Se realizan mediciones de ruido pedagógicas y se válida documentación de los establecimientos.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t>
  </si>
  <si>
    <t>Se realizan mediciones de ruido pedagógicas y se válida documentación de los establecimientos, se visitan un total de 13.
Se realizan 2 activaciones comunitarias, en la cual participan 130 personas, fortaleciendo las campañas contra la violencia VIF y la Violencia NNAJ, con el objetivo de conocer y reflexionar en torno al derecho a una vida libre de violencia, las diferentes formas de violencias contra las mujeres, violencias NNAJ, sus mecanismos de prevención y atención como instrumentos útiles en la defensa de la vida.  Estas actividades se articulan con las Secretarías de Desarrollo Económico, Juventud,  Gestión control territorial y PRECI.</t>
  </si>
  <si>
    <t xml:space="preserve">-	Comando situacional
-	Puesto de control 
-	Se realizó  feria de servicio interinstitucional en el parque Gaitán
-	El 4 de agosto en el barrio San José de la Cima 1, la Unidad de Convivencia realiza taller de formación en competencias ciudadanas, una oportunidad para fortalecer las 4 habilidades del conciliador. 
</t>
  </si>
  <si>
    <t>-	Se realizó  feria de servicio interinstitucional en el parque Gaitán atendiendo más de 60 personas entre adultos mayores y jóvenes.
-	El 4 de agosto en el barrio San José de la Cima 1, la Unidad de Convivencia realiza taller de formación en competencias ciudadanas, una oportunidad para fortalecer las 4 habilidades del conciliador. Personas impactadas: 35</t>
  </si>
  <si>
    <t xml:space="preserve">-	Intervención interinstitucional barrio Miranda
-	Puesto de control
-	Desmonte de cambuches en el recorrido Rio
-	Se realizó campaña educativa con vendedores ambulantes de San Cayetano y la calle 92 de Aranjuez, en compañía de espacio público.
-	Del 2 al 6 de agosto,  de 9:00 a.m. a 3:00 p.m., se realizó en el Parque de los Deseos una descentralización de Servicios, jornada jurídica y Orientación al Usuario.
-	El 3 de agosto, dando cumplimiento a un compromiso asumido en el Consejo de Convivencia Ciudadana, la Unidad de Convivencia en articulación con la Policía Nacional y la Subsecretaría Operativa de Seguridad, realizó campaña pedagógica en el barrio Brasilia, sobre el Código Nacional de Seguridad y Convivencia, para reducir los comportamientos contrarios a la convivencia asociados a la ocupación indebida del espacio público.
-	El 6 de agosto, para dar respuesta a las solicitudes ciudadanas de los residentes del barrio Aranjuez, sector de la calle 92 y sector San Cayetano,  en articulación con Emvarias, se realizó jornada de sensibilización sobre la importancia de manipular y disponer adecuadamente los residuos, para así reducir los comportamientos contrarios a la convivencia y mejorar el buen vivir en el territorio. 
</t>
  </si>
  <si>
    <t>-	El 6 de agosto, para dar respuesta a las solicitudes ciudadanas de los residentes del barrio Aranjuez, sector de la calle 92 y sector San Cayetano,  en articulación con Emvarias, se realizó jornada de sensibilización sobre la importancia de manipular y disponer adecuadamente los residuos, para así reducir los comportamientos contrarios a la convivencia y mejorar el buen vivir en el territorio. Se impactaron 100 personas.
-	El 3 de agosto, dando cumplimiento a un compromiso asumido en el Consejo de Convivencia Ciudadana, la Unidad de Convivencia en articulación con la Policía Nacional y la Subsecretaría Operativa de Seguridad, realizó campaña pedagógica en el barrio Brasilia, sobre el Código Nacional de Seguridad y Convivencia, para reducir los comportamientos contrarios a la convivencia asociados a la ocupación indebida del espacio público. Se impacta alrededor de 30 personas.
-	Del 2 al 6 de agosto,  de 9:00 a.m. a 3:00 p.m., se realizó en el Parque de los Deseos una descentralización de Servicios, jornada jurídica y Orientación al Usuario, beneficiándose 129 personas.</t>
  </si>
  <si>
    <t xml:space="preserve">-	Puesto de control
-	Desmonte de cambuches en el recorrido Rio
-	En respuesta la comunidad del barrio Florencia quienes denunciaron construcción ilegal como mecanismo para fortalecimiento de renta criminal, se coordina intervención inmediata con Policía, Inspección y Secretaría de Control Territorial,  que permite detener inmediatamente la construcción.
-	En respuesta la comunidad del barrio Boyacá quienes denunciaron construcción ilegal de nuevo lavadero de carros como mecanismo para fortalecimiento de renta criminal, se coordina intervención inmediata con Policía, Inspección, Secretaría de Control Territorial y la Subsecretaría de Espacio Público, que permite demoler inmediatamente el avance en la construcción e incautar los elementos de construcción.
-	Se logra avanzar en la articulación con la coordinación del equipo de la agencia APP para análisis técnico y jurídico que permita atender como proyecto de aprovechamiento económico, la problemática potencial de seguridad y uso indebido de espacio público que se presenta en las celdas de parqueo del Centro Comercial Multicentro Caribe.
-	El 6 de agosto el equipo del programa Medellín Convive la Noche visitó establecimientos con actividad económica "venta y consumo de licor” que buscan ingresar al programa. En estas visitas se sensibiliza con a los comerciantes con la estrategia "Parche Seguro" la cual busca incentivar a los propietarios de los establecimientos a las buenas prácticas de autocuidado y legalidad en el marco de la reactivación económica. 
-	Se realizan mediciones de ruido pedagógicas y se válida documentación de los establecimientos.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	En el sector de Gratamira se realizó recorrido de control en articulación con Subsecretaría de Gobierno Local, Movilidad, Inclusión Social y  Policía con el fin de realizar acercamiento de sensibilización y regulación a la problemática del uso inadecuado del espacio público que se presenta con los 40 venteros no regulados de la zona donde se tuvo que intervenir verbal y por escrito la prohibición de la venta de licor.
</t>
  </si>
  <si>
    <t>-	Se realizan mediciones de ruido pedagógicas y se válida documentación de los establecimientos, se visitan un total de 13.</t>
  </si>
  <si>
    <t xml:space="preserve">-	Plan prevención contra el hurto
-	Ante la problemática económica de la pandemia en los últimos meses se ha incrementado el uso de espacio público y rentas en la comuna 6, se articula sensibilización y acompañamiento a espacio público y recuperación de algunos espacios.
-	Se articulan actividades de prevención de hurto y denuncia con el nuevo  Mayor Alexander Garnica asignado a la estación hace pocos días.
-	En la estación García Márquez del metrocable se propone intervención con movilidad ante la circulación de motocicletas en andén peatonal, para evitar un trayecto más largo las personas utilizan el andén como (atajo) para llegar más rápido a su destino sin respetar la circulación de personas como niños, adultos y personas de avanzada edad.
-	El 6 de agosto el equipo del programa Medellín Convive la Noche visitó establecimientos con actividad económica "venta y consumo de licor” que buscan ingresar al programa. En estas visitas se sensibiliza con a los comerciantes con la estrategia "Parche Seguro" la cual busca incentivar a los propietarios de los establecimientos a las buenas prácticas de autocuidado y legalidad en el marco de la reactivación económica. Adicional a lo anterior, se realizan medicines de ruido pedagógicas y se válida documentación de los establecimientos.
</t>
  </si>
  <si>
    <t>-	El 6 de agosto el equipo del programa Medellín Convive la Noche visitó establecimientos con actividad económica "venta y consumo de licor” que buscan ingresar al programa. En estas visitas se sensibiliza con a los comerciantes con la estrategia "Parche Seguro" la cual busca incentivar a los propietarios de los establecimientos a las buenas prácticas de autocuidado y legalidad en el marco de la reactivación económica. Adicional a lo anterior, se realizan medicines de ruido pedagógicas y se válida documentación de los establecimientos.</t>
  </si>
  <si>
    <t xml:space="preserve">-	Puesto de control
-	Intervención por invasión del espacio público (movilidad)
</t>
  </si>
  <si>
    <t xml:space="preserve">-	Puesto de control
-	El 3 de agosto en el parque Villa Hermosa, se realizó un encuentro con los vendedores informales (población migrante) con el fin de generar acuerdos y compromisos en torno a la mitigación de los diferentes Comportamientos Contrarios a la Convivencia que se vienen presentando en el parque y sus alrededores. Acompañaron la actividad la Subsecretaría de Espacio Público y la Unidad de Convivencia. 
-	Con el propósito de avanzar en la construcción y potenciación del proceso de concertación y autorregulación por el espacio público que se viene adelantando desde hace 4 meses se firmó el acuerdo de convivencia el día  miércoles 4 de agosto entre venteros informales autorizados en el parque de Villa Hermosa. Dentro del acuerdo se comprometieron a  cumplir con los horarios permitidos para las ventas que se comprenden entre 6:00 a.m. y 12:00 p.m., a no tercerizar los puestos de venta, cumplir con las medidas permitidas y propender por el cuidado con el ornato y aseo del espacio.
</t>
  </si>
  <si>
    <t>-	El 3 de agosto en el parque Villa Hermosa, se realizó un encuentro con los vendedores informales (población migrante) con el fin de generar acuerdos y compromisos en torno a la mitigación de los diferentes Comportamientos Contrarios a la Convivencia que se vienen presentando en el parque y sus alrededores. Acompañaron la actividad la Subsecretaría de Espacio Público y la Unidad de Convivencia. Participaron 15 personas.
-	Con el propósito de avanzar en la construcción y potenciación del proceso de concertación y autorregulación por el espacio público que se viene adelantando desde hace 4 meses se firmó el acuerdo de convivencia el día  miércoles 4 de agosto entre venteros informales autorizados en el parque de Villa Hermosa, donde se beneficiaron 25 venteros no regulados y 7 regulados semiestacionarios. Dentro del acuerdo se comprometieron a  cumplir con los horarios permitidos para las ventas que se comprenden entre 6:00 a.m. y 12:00 p.m., a no tercerizar los puestos de venta, cumplir con las medidas permitidas y propender por el cuidado con el ornato y aseo del espacio.</t>
  </si>
  <si>
    <t xml:space="preserve">-	Acción integral centro y parque prado y acción de protección (viernes 13 de agosto) 
-	Estupefacientes
-	Puesto de control
-	Desmonte de cambuches en el recorrido Rio
-	Intervención Minorista, acción integral y estupefacientes.
-	Intervención Sagrado Corazón y Chagualo
-	Se realiza la campaña de Parque Seguro en el sector el Machete barrio Villanueva, promoviendo los protocolos de bioseguridad y apoyando la reactivación económica.
-	El 4 de agosto por solicitud de la JAC en el barrio San Benito y en respuesta al Comité local de Gobierno, nos articulamos con Gerencia del Centro, para llevar a cabo la estrategia Interinstitucional “centro consentido”. La Unidad de Convivencia participó con la estrategia "Dale Sentido a la Vida, Vive y Convive" y se invitó a la Comunidad a la reconciliación desde la palabra escrita, para una Sana Convivencia. Acompañaron la Ponal, (Unidades de Preci), Secretaría de Medio Ambiente, Espacio Público, Movilidad Humana, Gerencia del Centro y Seguridad y Convivencia.
-	El 05 de agosto en el barrio Prado Centro con el Gremio Taxista Coopebombas, se realizó socialización de la Ley 1801 de 2016, frente a los hechos contrarios de la convivencia, se tocaron temas como: convivencia, espacios pedagógicos de la convivencia, oferta institucional, importancia del Comité Local de Gobierno, Consejos de Convivencia Ciudadana.  Acompañaron la actividad: Preci, Personería de Medellín, Comisaría de Familia, y la Unidad de Convivencia. 
-	El 05 de agosto en el centro de atención básica 2, como respuesta al gran incremento de homicidios por convivencia entre habitantes de calle, la Unidad de Convivencia realizó socialización del Código Nacional de Seguridad y Convivencia, con el propósito de generar buenos hábitos en convivencia ciudadana en el marco del proceso de resocialización que inician. 
-	Se realizó la sensibilización de 2 centros comerciales en cuanto a la regulación de los avisos publicitarios instalados en sus fachadas, también pedagogía frente a cuáles son avisos de identificación y cuáles comerciales que generan aprovechamiento económico del espacio público, sus dimensiones y sitios permitidos, en compañía de la Agencia App, y a su vez se hizo recorrido de verificación de cumplimiento de parámetros técnicos en el sector parque de Boston.
</t>
  </si>
  <si>
    <t>-	El 05 de agosto en el centro de atención básica 2, como respuesta al gran incremento de homicidios por convivencia entre habitantes de calle, la Unidad de Convivencia realizó socialización del Código Nacional de Seguridad y Convivencia, con el propósito de generar buenos hábitos en convivencia ciudadana en el marco del proceso de resocialización que inician. Participaron de esta actividad 24 personas.
-	El 05 de agosto en el barrio Prado Centro con el Gremio Taxista Coopebombas, se realizó socialización de la Ley 1801 de 2016, frente a los hechos contrarios de la convivencia, se tocaron temas como: convivencia, espacios pedagógicos de la convivencia, oferta institucional, importancia del Comité Local de Gobierno, Consejos de Convivencia Ciudadana.  Acompañaron la actividad: Preci, Personería de Medellín, Comisaría de Familia, y la Unidad de Convivencia. Se impactaron 40 Personas. 
-	El 4 de agosto por solicitud de la JAC en el barrio San Benito y en respuesta al Comité local de Gobierno, nos articulamos con Gerencia del Centro, para llevar a cabo la estrategia Interinstitucional “centro consentido”. La Unidad de Convivencia participó con la estrategia "Dale Sentido a la Vida, Vive y Convive" y se invitó a la Comunidad a la reconciliación desde la palabra escrita, para una Sana Convivencia. Acompañaron la Ponal, (Unidades de Preci), Secretaría de Medio Ambiente, Espacio Público, Movilidad Humana, Gerencia del Centro y Seguridad y Convivencia, se impactan 55 personas.</t>
  </si>
  <si>
    <t xml:space="preserve">-	Plan prevención contra el hurto 
-	Desmonte de cambuches
-	Puesto de control
-	Desmonte de cambuches en el recorrido Rio
-	PMU Estadio, desmonte de cambuches y puesto de control 
-	Plan de Control de Habitantes de Calle en articulación con Inclusión Social, Familia y DDHH y Policía en donde acompaño comunicaciones para reportar dicho proceso en el territorio. 
-	Intervención con Secretaría de Control y Gestión Territorial y Policía frente a las construcciones y compraventas ilegales que se están presentando en el sector de San Joaquín y Conquistadores.   
-	Caracterización de problemáticas de Violencias asociadas a niños, niñas, adolescentes y jóvenes —NNAJ— en relación con el uso, vinculación, instrumentalización y/o reclutamiento —UVR— de NNAJ y Explotación Sexual y Comercial de Niños, Niñas y Adolescentes — ESCNNA—. Esto se realiza en el corredor de la 70, en articulación con Unidad de Niñez, Policía de Infancia y Adolescencia, PRECI, Secretaría de Juventud y Subsecretaría Operativa.
-	El 4 de agosto la Unidad de Convivencia en articulación con las Secretarías de Salud y de Juventud se realizó nuevamente acercamiento con Comunidad LGTBIQ+, del Barrio El Velódromo, con el fin de conocer necesidades puntuales y llegar así con una oferta que cumpla sus necesidades. 
</t>
  </si>
  <si>
    <t>-	El 4 de agosto la Unidad de Convivencia en articulación con las Secretarías de Salud y de Juventud se realizó nuevamente acercamiento con Comunidad LGTBIQ+, del Barrio El Velódromo, con el fin de conocer necesidades puntuales y llegar así con una oferta que cumpla sus necesidades. Se impactan 12 personas.</t>
  </si>
  <si>
    <t xml:space="preserve">-	Plan prevención contra el hurto 
-	Desmonte de cambuches
-	Se realizó campaña de socialización  de la línea 123 social y emergencia, dirigida a comerciantes en el barrio La Floresta.
-	El 1 de agosto tras llamados de la comunidad del barrio La Pradera, por asuntos de constantes ruidos y perturbación de la tranquilidad, se realizó junto con el Centro Integrado de Intervención-CI2, actividad lúdico-recreativa con los niños y niñas, cómo espacio de encuentro para socializar las pautas y comportamientos de los buenos cuidados, promoviendo con ellos la implementación de estrategias al interior de los hogares para la disminución del ruido.  
</t>
  </si>
  <si>
    <t>-	El 1 de agosto tras llamados de la comunidad del barrio La Pradera, por asuntos de constantes ruidos y perturbación de la tranquilidad, se realizó junto con el Centro Integrado de Intervención-CI2, actividad lúdico-recreativa con los niños y niñas, cómo espacio de encuentro para socializar las pautas y comportamientos de los buenos cuidados, promoviendo con ellos la implementación de estrategias al interior de los hogares para la disminución del ruido.  Participan 30 personas, entre niños y niñas.</t>
  </si>
  <si>
    <t xml:space="preserve">-	Puesto de control
-	El 1 de agosto, dando seguimiento a los puntos prioritarios de intervención, en el sector de Luz del Mundo del barrio El Socorro 13, se realizó recuperación con limpieza y embellecimiento en articulación con la Policía, el Ejército Nacional, la Secretaría de Salud, el Centro Integrado de Intervención - CI2 y la Promotora Local de Gobierno. Se promovió prácticas cotidianas de la disposición adecuada de residuos sólidos con la comunidad participante. 
-	En el cumplimiento de los compromisos adquiridos en Consejo de Convivencia, se trabajó con los niños del barrio Las Independencias, sector Escaleras Eléctricas, en lo relacionado con la prevención de la violencia interpersonal, la mendicidad y explotación infantil laboral. Con estos chicos se intervino sobre la estrategia de Dale Sentido a la Vida: "Ruta del Respeto". 
</t>
  </si>
  <si>
    <t>-	El 1 de agosto, dando seguimiento a los puntos prioritarios de intervención, en el sector de Luz del Mundo del barrio El Socorro 13, se realizó recuperación con limpieza y embellecimiento en articulación con la Policía, el Ejército Nacional, la Secretaría de Salud, el Centro Integrado de Intervención - CI2 y la Promotora Local de Gobierno. Se promovió prácticas cotidianas de la disposición adecuada de residuos sólidos con la comunidad participante. Se impactaron 80 personas.
-	En el cumplimiento de los compromisos adquiridos en Consejo de Convivencia, se trabajó con los niños del barrio Las Independencias, sector Escaleras Eléctricas, en lo relacionado con la prevención de la violencia interpersonal, la mendicidad y explotación infantil laboral. Con estos chicos se intervino sobre la estrategia de Dale Sentido a la Vida: "Ruta del Respeto". Participaron de la actividad 8 menores.</t>
  </si>
  <si>
    <t xml:space="preserve">-	Acción integral Parque Lleras
-	Desmonte de cambuches en el recorrido Río
-	Se inició feria se servicios interinstitucionales en el Parque Lleras y Provenza.
-	El 4 de agosto en Ciudad del Río, se promovió en vecinos y visitantes del parque al "Respeto por los espacios públicos"; una oportunidad también para hacerles un llamado a la tenencia adecuada de mascotas.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	Se hace entrega de 16 requerimientos de desmonte en el corredor de la 10, los cuales no cumplen con la normatividad vigente y que además no se encuentran regulados por la subsecretaría y no tienen un trámite de registro en curso.
</t>
  </si>
  <si>
    <t>-	El 4 de agosto en Ciudad del Río, se promovió en vecinos y visitantes del parque al "Respeto por los espacios públicos"; una oportunidad también para hacerles un llamado a la tenencia adecuada de mascotas. Se impactan 70 personas.</t>
  </si>
  <si>
    <t xml:space="preserve">-	Puesto de control en la 4 sur y Las Palmas
-	Desmonte de cambuches en el recorrido del rio
-	Se continúa intervención enfocada en habitante de calle en las comunas 15 y 16. Articulados con inclusión social, espacio público y Emvarias. Se evidencia la disminución de presencia de habitantes de calle en puntos críticos, especialmente en la canalización de la carrera 65 y en el sector empresarial del sur.
</t>
  </si>
  <si>
    <t xml:space="preserve">-	Puesto de control
-	Plan parques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	Se continúa intervención enfocada en habitante de calle en las comunas 15 y 16. Articulados con inclusión social, espacio público y Emvarias. Se evidencia la disminución de presencia de habitantes de calle en puntos críticos, especialmente en la canalización de la carrera 65 y en el sector empresarial del sur.
</t>
  </si>
  <si>
    <t xml:space="preserve">-	Se atiende problemática de Hurtos a personas que se viene presentando en la vereda Urquita.
-	El 5 de agosto en la vereda la Frisola en el marco de la Feria de servicios, se realiza la estrategia Dale sentido a la vida "Vive y Convive, el taller de cartas de amor y se socializó la Ley 1801 de 2016 frente al tema del Ruido y perturbación de la tranquilidad ciudadana. 
</t>
  </si>
  <si>
    <t>-	El 5 de agosto en la vereda la Frisola en el marco de la Feria de servicios, se realiza la estrategia Dale sentido a la vida "Vive y Convive, el taller de cartas de amor y se socializó la Ley 1801 de 2016 frente al tema del Ruido y perturbación de la tranquilidad ciudadana. En esta actividad se impactaron 15.</t>
  </si>
  <si>
    <t xml:space="preserve">-	Puesto de control
-	Comuna Nuevo Occidente: el 4 de agosto, en la Ciudadela Nuevo Occidente, se llevó acabo la socialización del Código Nacional de Seguridad y Convivencia, haciendo hincapié en los Comportamientos Contrarios a la Convivencia tales como el ruido, uso inadecuado del espacio público, mal manejo de residuos sólidos, tenencia responsable de mascotas (caninos y felinos) y de consumo de licor al interior de la Urbanización Atardeceres.
-	El 3 de agosto se realizó jornada lúdico-pedagógica con niños, adolescentes y mujeres adultas de la vereda La Loma, trabajando en temas de respeto; prevención a la violencia contra niños, niñas, adolescentes y mujeres; y nuevas masculinidades. En la actividad se reflexionó sobre los comportamientos en los hogares y cómo generar entornos seguros. Esta actividad se realizó en articulación con la Subsecretaria Operativa, laS SecretaríaS de Inclusión Social, Familia y DDHH, Mujeres y PRECI.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t>
  </si>
  <si>
    <t>-	Comuna Nuevo Occidente: el 4 de agosto, en la Ciudadela Nuevo Occidente, se llevó acabo la socialización del Código Nacional de Seguridad y Convivencia, haciendo hincapié en los Comportamientos Contrarios a la Convivencia tales como el ruido, uso inadecuado del espacio público, mal manejo de residuos sólidos, tenencia responsable de mascotas (caninos y felinos) y de consumo de licor al interior de la Urbanización Atardeceres. Se impactaron 18 personas.
-	El 3 de agosto se realizó jornada lúdico-pedagógica con niños, adolescentes y mujeres adultas de la vereda La Loma, trabajando en temas de respeto; prevención a la violencia contra niños, niñas, adolescentes y mujeres; y nuevas masculinidades. En la actividad se reflexionó sobre los comportamientos en los hogares y cómo generar entornos seguros. Esta actividad se realizó en articulación con la Subsecretaria Operativa, laS SecretaríaS de Inclusión Social, Familia y DDHH, Mujeres y PRECI. Se impactó a 60 personas.</t>
  </si>
  <si>
    <t xml:space="preserve">-	Visita a predio agua frías
-	Se presenta situación de uso e instrumentalización de menores en el sector de Manzanillo, donde un menor de 14 años fue víctima de desplazamiento intraurbano por parte de grupos delincuenciales al parecer por haber hecho parte de sus actividades delictivas, otros 2 menores se encuentran en riesgo en este sector por la misma razón. 
-	Se realiza  reunión con Edil del corregimiento y líderes del sector donde se logra evidenciar las problemáticas de seguridad que están ocurriendo actualmente en el Manzanillo,  líderes y comunidad piden apoyo del ejército para mitigar la problemática.
-	El día de hoy 10 de agosto se lleva a cabo caminata ecológica con medio ambiente, líderes y comunidad  del sector La Esperanza donde se ha venido realizando un acercamiento para evidenciar las problemáticas de seguridad y empoderar a la comunidad de dicho sector en corresponsabilidad social, cultura de denuncia y fortalecimiento en la confianza institucional.
-	El 6 de agosto en la parte central del corregimiento, se realiza actividad lúdico recreativa consistente en promoción de la convivencia con los diferentes habitantes del sector como espacio de encuentro para socializar  comportamientos de los buenos cuidados, promoviendo el Respeto hacia al otro por medio de las diferentes   estrategias. De esta actividad participaron 30 personas.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t>
  </si>
  <si>
    <t xml:space="preserve">-	Puesto de control
-	Se realizó reunión con la Unidad de Convivencia, con el objetivo de analizar los compromisos adquiridos en el CCC de Prados Campestre. Se realizará otro CCC el 26 de Agosto.
-	El 6 de  agosto, en la Vereda el Salado, dando respuesta a denuncias en Consejo de Convivencia Ciudadana y quejas de la ciudadanía respecto a posibles casos de Explotación sexual Comercial de Niños, Niñas y Adolescentes se realizó articulación interinstitucional con PRECI, la Secretaría de la Mujer y la Unidad de Niñez, logrando sensibilizar y empoderar a padres de familia y niñas de la zona sobre: el Código de seguridad y convivencia (Ley 1801 de 2016), identificación de riesgos y  apropiación de la ESCNNA, uso y conocimiento de las plataformas donde se registran las denuncias, las rutas de acción, código fucsia, derechos sexuales y reproductivos, manejo de las emociones; entre otras estrategias de prevención y protección a los niños, niñas y adolescentes.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t>
  </si>
  <si>
    <t>-	El 6 de  agosto, en la Vereda el Salado, dando respuesta a denuncias en Consejo de Convivencia Ciudadana y quejas de la ciudadanía respecto a posibles casos de Explotación sexual Comercial de Niños, Niñas y Adolescentes se realizó articulación interinstitucional con PRECI, la Secretaría de la Mujer y la Unidad de Niñez, logrando sensibilizar y empoderar a padres de familia y niñas de la zona sobre: el Código de seguridad y convivencia (Ley 1801 de 2016), identificación de riesgos y  apropiación de la ESCNNA, uso y conocimiento de las plataformas donde se registran las denuncias, las rutas de acción, código fucsia, derechos sexuales y reproductivos, manejo de las emociones; entre otras estrategias de prevención y protección a los niños, niñas y adolescentes. Se impactan aproximadamente 30 padres de familia 35 niños.</t>
  </si>
  <si>
    <t xml:space="preserve">-	Reunión Parque Arví con fincas silleteras no incluidas en la COSSE (corporación de silleteros de Santa Elena).
-	Recorrido de certificación el cerro.
-	Reunión previa desfile de Silleteritos.
-	Visita de verificación de parqueaderos en finca contigua al centro de salud.
-	Acompañamiento a desfile de Silleteritos
-	El 3 de agosto, en la vereda barro blanco sector el Rosario, mediante articulación interinstitucional se realizó intervención en la identificación de algunas problemáticas relacionadas al mal manejo de los residuos sólidos, escombros y otros desechos, igualmente se realiza sensibilización a los habitantes del sector con respecto a la adecuada disposición de los residuos en virtud del artículo 111 de la ley 1801 de 2016. Esta actividad tuvo un impacto en 90 habitantes del sector.
-	El 10 de agosto, el Secretario de Seguridad y Convivencia realizó recorrido al corregimiento de Santa Elena donde visitó la Casa de Gobierno, el Fuerte de Carabineros, la estación de Policía y participó del Comité Local de Gobierno. 
</t>
  </si>
  <si>
    <t>-	El 10 de agosto, el Secretario de Seguridad y Convivencia realizó recorrido al corregimiento de Santa Elena donde visitó la Casa de Gobierno, el Fuerte de Carabineros, la estación de Policía y participó del Comité Local de Gobierno. Con la participación de 30 personas del sector.</t>
  </si>
  <si>
    <t>. Cerros Tutelares:  Teniendo en cuenta que la fecha de feria de flores está prevista entre el 12 y 20 de agosto, con el operador Parque Arvi, se están revisando  las estrategias para manejo de los cerros en estas fechas, con énfasis en el cerro Nutibara ya que es el mas visitado.</t>
  </si>
  <si>
    <t>. Seguimiento de la operación y funcionamiento del Centro de Bienestar Animal La Perla donde se realiza seguimiento a los rescates, atenciones, adopciones, identificación y registro con microchip y actividades relacionadas con el bienestar animal.</t>
  </si>
  <si>
    <t>. Participación en el Comité de Peligro Aviario.</t>
  </si>
  <si>
    <t xml:space="preserve">   </t>
  </si>
  <si>
    <t>• Situación social de Moravia no ha permitido ejecutar el contrato con la UdeA y se está incumpliendo meta del Plan de Desarrollo, se debe intervenir desde las dependencias que tienen la competencia.</t>
  </si>
  <si>
    <t>• Llevar al Consejo de Gobierno, el Plan de Movilidad Empresarial Sostenible, a fin de definir responsabilidades y dar cumplimiento a la obligación legal de la Alcaldía.</t>
  </si>
  <si>
    <t>Problemática Quebrada La Bermejala, Carrera 50 con Calle 85, Comuna 4: movimiento en masa de gran magnitud aledaño a esta quebrada con riesgo de desestabilización y obstrucción de cauce. Conforme a reunión con Departamento Administrativo de Gestion del Riesgo de Desastres - Dagrd.
Pendiente  reunión con Departamento Administrativo de Gestion del Riesgo de Desastres - DAGRD con el fin de analizar y definir competencia, alternativa de intervención y asignación de recursos.</t>
  </si>
  <si>
    <t>. Cerros Tutelares: Los problemas de seguridad que se están presentando en el cerro El Volador debido a los continuos robos a los usuarios.</t>
  </si>
  <si>
    <t>. Recursos para el funcionamiento del Centro de Bienestar Animal la Perla.</t>
  </si>
  <si>
    <t xml:space="preserve">• Participación en la Mesa Regional de Movilidad Sostenible del Valle de Aburrá que lideran EPM y Movilidad.
•  Participación en reunión con EDU y otras dependencias para revisar el componente de recicladores en el Plan Parcial de Naranjal.
•  Ajustar el Proyecto de decreto de adopción del Plan de Acción Climático - PAC
• Ajuste reporte de agenda ODS con resultados de inventario propio.
</t>
  </si>
  <si>
    <t>Mantenimientos en quebradas: A través de cuadrilla de obreros se continuarán con acciones en quebrada la Picacha, la Quebrada Altavista y se proyecta iniciar adecuaciones en quebrada Minitas, afectada por hundimiento de vía. Así mismo se acompañará la Jornadas definidas por el Grupo de Intervenciones Ambientales en  el Parque de Pedregal y en Plaza de Botero.
Seguimiento y  gestión de recursos Se verificará el proceso de gestión de recursos para mantenimientos en tres quebradas por valor de 600 millones, que se adelanta ante la Unidad Nacional de Gestión de Riesgos UNGR. Adicionalmente se reiterará ante la Secretaría de Hacienda, la necesidad de recursos requeridos para la atención de la urgencia Manifiesta, también se proyectó oficio al Área Metropolitana solicitando suscripción de convenio para el aporte de recursos para la Urgencia Manifiesta.
Se continúa con la tala, poda y retiro de árboles. Se espera iniciar los mantenimientos de zonas verdes en los sitios más críticos de la ciudad.
. Implementación Esquema de Pago por Servicios Ambientales Hídricos - PSAH: Recepción de documentos para la postulación al PSAH. Plazo de entrega de documentos 21 de agosto de 2021.</t>
  </si>
  <si>
    <t>. Reunión con líderes comunitarios de los barrios Popular 1 y Nuevo Horizonte, con el fin de escuchar a la comunidad en problemáticas de protección y Bienestar Animal.
. Jornadas de Bienestar Animal para animales de compañía en el barrio Nuevo Horizonte.</t>
  </si>
  <si>
    <t>Transformación Integral del lugar Intervenido</t>
  </si>
  <si>
    <t>Pintura de pasamanos y defensas viales : 36 m lineales
Pintura de mobiliario urbano : 29 módulos
Recolección de residuos ordinarios: 56 m3
Recolección de RCD: 17 m3
Recolección voluminosos :  9m3
Limpieza sumideros : 63 unidades
Limpieza de punto critico: 1 puntos</t>
  </si>
  <si>
    <t xml:space="preserve">Retiro de Publicidad Prohibida : 17 postes
Pintura de pasamanos y defensas viales : 84 m lineales
Pintura de mobiliario urbano : 9 módulos
Pintura muros vandalizados : 45m2
Limpieza de zonas verdes :  2000m2
Recolección de residuos ordinarios: 3 m3
Recolección voluminosos : 8m3
Limpieza sumideros : 85 unidades
Jardineras Intervenidas: 16 unidades
Lavado de zonas duras : 300m2 </t>
  </si>
  <si>
    <t>Retiro de Publicidad prohibida : 49 postes
Lavado zonas duras : 3000m2
Pintura de pasamanos y defensas viales : 12 m lineales
Pintura de mobiliario urbano :26  módulos
Recolección de residuos ordinarios: m3
Limpieza   y reparación cabinas telefónicas :20  unidades</t>
  </si>
  <si>
    <t>El 03 de agosto de 2021, se asistió a la Sesión de la JAL, en la que se atendió y dio respuesta a las inquietudes asociadas a las acciones e intervenciones en el recurso hídrico de la Comuna 16.</t>
  </si>
  <si>
    <t>El 06 de agosto, se participó en la sesión de la comisión Accidental 206 "Hacer seguimiento a la gestión de riesgos de desastres en Medellín", cuyo tema especifico estaba asociado a la problemáticas de la Quebrada La Picacha Comuna 16.</t>
  </si>
  <si>
    <t>Socialización de situaciones relacionadas con los animales, acuerdos con la comunidad frente a oferta institucional</t>
  </si>
  <si>
    <t>PERSONAS ATENDIDAS: 11 líderes comunitarios</t>
  </si>
  <si>
    <t>Actividad: Personas sensibilizadas en manejo responsable de animales de compañía</t>
  </si>
  <si>
    <t>personas atendidas: 8</t>
  </si>
  <si>
    <t>Actividad:   Personas sensibilizadas  en manejo responsable de animales de compañía.</t>
  </si>
  <si>
    <t>personas atendidas: 7</t>
  </si>
  <si>
    <t>Actividad: Esterilizaciones externas  entre perros y gatos.</t>
  </si>
  <si>
    <t>1 animal atendido</t>
  </si>
  <si>
    <t>Actividad: Visita con bióloga y veterinario para revisión semanal de condiciones de bienestar de los animales comercializados, se entregaron recomendaciones para mejorar bienestar de los animales.</t>
  </si>
  <si>
    <t xml:space="preserve">Personas atendidas: 14 propietarios de locales </t>
  </si>
  <si>
    <t>ACTIVIDAD: Presupuesto participativo, Encuentro de elección de consejeros Presupuesto participativo, se asistió a reunión presencial de presupuesto participativo la cual tenía como fin la elección de consejeros. Se obtuvo como resultado, la elección de una dupla.</t>
  </si>
  <si>
    <t>Personas Atendidas: asistencia de 26 ciudadanos.</t>
  </si>
  <si>
    <t xml:space="preserve">6 animales atendidos </t>
  </si>
  <si>
    <t>Actividad: implantación de microchip</t>
  </si>
  <si>
    <t>animales atendidos: 69</t>
  </si>
  <si>
    <t xml:space="preserve">Director de Departamento Administrativo </t>
  </si>
  <si>
    <t xml:space="preserve">Consolidación, procesamiento, validación, generación y envío del informe definitivo del Plan indicativo, Plan de Acción, Georreferenciación de la inversión pública y Fondo Medellín Ciudad para la Vida, con corte a 30 de junio de 2021. </t>
  </si>
  <si>
    <t xml:space="preserve">Generación y análisis de cifras agregadas de avance del plan de Desarrollo con corte a junio 30 y proyección a diciembre de 2021. </t>
  </si>
  <si>
    <t xml:space="preserve">Actualización plataforma Sistema de Seguimiento y Evaluación del Plan de Desarrollo Municipal. </t>
  </si>
  <si>
    <t>Solicitud de información para corte a julio 31 del instrumento de seguimiento de la obra física.</t>
  </si>
  <si>
    <t xml:space="preserve">Respuesta derecho de petición de la concejala María Paulina Aguinaga asociada a temas de indicadores del Plan de Desarrollo, asociación proyectos de inversión a indicadores, inversión por comunas y corregimientos. </t>
  </si>
  <si>
    <t>Inscripción y Cumplimiento de requisitos legales para el concurso del DNP, para Mejores Planes de Desarrollo</t>
  </si>
  <si>
    <t>Versión 0 del Proyecto de Decreto de Reglamentación de la Política Pública de Protección a Moradores y Actividades Económicas y Productivas. En estudio jurídico por parte de todo el equipo de abogados del DAP.</t>
  </si>
  <si>
    <t xml:space="preserve">Apoyo en el proceso del Plan Estratégico Medellín Región 2030/2050, mediante la consolidación de aportes en el concepto de región, asociatividad y enfoque de la visión.
</t>
  </si>
  <si>
    <t xml:space="preserve">Aportes al análisis de la conversión de Medellín en Distrito Especial de CTI.
</t>
  </si>
  <si>
    <t>Se completaron los estudios previos para contratar el PP Carabineros con la EDU, se inicia proceso contractual.</t>
  </si>
  <si>
    <t>Del tema SISBEN, en la semana del 02 al 06 de agosto se firmaron 8 tutelas. Se tienen pendientes 1.916 PQRSD para gestión. En la semana del 02 al 06 de agosto se gestionaron 241 derechos de petición.</t>
  </si>
  <si>
    <t xml:space="preserve">Validación y ajuste de la información enviada por las dependencias para el instrumento de seguimiento de la obra física.  </t>
  </si>
  <si>
    <t xml:space="preserve">Respuesta a solicitud de la Secretaria de Desarrollo Económico sobre cambio de responsabilidad en el reporte de algunos indicadores del Plan de Desarrollo para la Gerencia de Corregimientos. </t>
  </si>
  <si>
    <t xml:space="preserve">Generación de evidencias sobre la presentación ante el concejo de gobierno municipal del informe Definitivo del Plan indicativo, Plan de Acción, Georreferenciación de la inversión pública y Fondo Medellín Ciudad para la Vida, con corte a 30 de junio de 2021. </t>
  </si>
  <si>
    <t xml:space="preserve">Generación y radicación de los Oficios Remisorios para las diferentes agendas de control social, político y fiscal de los Instrumentos de seguimiento al Plan de Desarrollo Municipal 2020-2023 “Medellín Futuro” con corte a junio 30 de 2021. </t>
  </si>
  <si>
    <t>Continuar la construcción conceptual de la información, en apoyo a la Unidad de Articulación Regional.</t>
  </si>
  <si>
    <t>Existe Versión 0 del Proyecto de Decreto "Asimilación de la Estratificación".</t>
  </si>
  <si>
    <t>Existe documento de trabajo sobre la reglamentación de la Plusvalía por Obra Pública y de la PPPMAEP.</t>
  </si>
  <si>
    <t>Los logros alrededor de los proyectos en los que se viene avanzando en la UPT, por estar relacionados directamente  con los compromiso del POT, a nivel de elaboración de estudios, la revisión,  evaluación y seguimiento del mismo, en general  tienden a impactar a todo el territorio Municipal.</t>
  </si>
  <si>
    <t>ANA CAMILA SALAZAR PALACIO</t>
  </si>
  <si>
    <t>1. Ajuste a todos los procesos para que los servidores desarrollen sus funciones de manera presencial.</t>
  </si>
  <si>
    <t>2. Estudio de cargas laborales y escala salarial:  se continua con la ejecución del cronograma de trabajo para el estudio de cargas laborales. Durante esta semana se realizaron intervenciones a la Secretaría de Evaluación y Control, Gestión Humana y Servicio a la Ciudadanía, Gestión y Control Territorial. 
En el marco de este proyecto, el próximo viernes 13 de agosto se remitirá a los servidores mediante el correo electrónico de: "estudios.cargasysalarios2021@medellin.gov.co" para su diligenciamiento el formulario diseñado para realizar el diagnóstico del estado salarial. Este formulario debe ser diligenciado a partir de la fecha de recibo hasta el 23 de agosto del presente año.</t>
  </si>
  <si>
    <t>3.  Comité Institucional de Coordinación de Control Interno:  el miércoles 11 de agosto se realizará el segundo comité de este año, en el cual presentaremos el seguimiento a la política de administración de riesgos (Decreto 577 DE 2018 función 9) y el Análisis del impacto sobre el control interno por cambios en los diferentes niveles organizacionales en el Municipio de Medellín.</t>
  </si>
  <si>
    <t>1. Se requiere las instrucciones  de las Secretarias de Movilidad y Gobierno, para la provisión de los empleos de Agente de Tránsito  Temporales. La Comisión Nacional del Servicio Civil-CNSC ya envió el concepto y la viabilidad para iniciar el proceso.</t>
  </si>
  <si>
    <t>2. Persisten dificultades para el retorno de los servidores a la presencialidad, dado que los Líderes de algunas Secretarias  continúan indicando a sus  colaboradores que pueden continuar con trabajo en casa, alternancia e inclusive que vengan solamente medio día. Esta  situación esta aumentando el conflicto entre servidores, porque los que empezaron a retornar están indicando que muchos de sus compañeros con las mismas condiciones, no están viniendo a laborar (es indispensable el compromiso de los Lideres para que se cumpla la Circular). Solo es facultad del Alcalde modificar los horarios Laborales.</t>
  </si>
  <si>
    <t>3. Se requiere que los Lideres Administrativos de cada Secretaría, realicen el reporte de las incapacidades en los tres días siguientes a su causación, dado que su demora esta generando dificultades para el recobro a las diferentes EPS.</t>
  </si>
  <si>
    <t>1. Gestión de actividades en el marco de la Feria de las Flores, para que los servidores puedan participar en algunos eventos.</t>
  </si>
  <si>
    <t>2. Autoevaluación de riesgos segundo cuatrimestre de 2021:  finalizar la autoevaluación de los mapas de riesgos hasta el día 13 de agosto como fecha limite, y generar los insumos para la consolidación del informe de riesgos de corrupción, gestión y seguridad digital que debe publicarse en el portal de la entidad el 31 de agosto.</t>
  </si>
  <si>
    <t>3. Informes cuatrimestrales de gestión:  estaremos realizando los informes cuatrimestrales de estado de acciones de mejoramiento registradas en Isolucion y  estado de los indicadores de gestión de los 27 procesos del MOP los cuales se enviaran a los directivos y equipos operativos para su revisión y gestiones que sean pertinentes.</t>
  </si>
  <si>
    <t>1.	Desarrollamos la brigada CentroConSentido del barrio San Benito, tuvimos participación de las diferentes secretarías de la alcaldía de Medellín y articulación con la universidad San Buenaventura. Realizamos las 4 fases que contemplan las brigadas Integrales institucionales de la comuna 10. 1.Diagnostico 2. Intervención física 3.Acompañamiento Social 4. Intervención Cultural. Adicional se realizaron campañas de divulgación de la información de la política nacional de educación ambiental y participación en el barrio San Benito, llevando campañas con de sensibilización de residuos sólidos y escombro, se establece ruta de atención por parte de Emvarias.</t>
  </si>
  <si>
    <t>2.	Articulación con la Gerencia de Diversidades, Desarrollo Económico, e Inclusión para la consolidación del Distrito Diverso.</t>
  </si>
  <si>
    <t>3.	Acompañamiento a los comerciantes con la entidad asesora en la consolidación de una propuesta de apropiación en la Alhambra.</t>
  </si>
  <si>
    <t>4.	En la Mesa de Distrito Comercial nos articulamos con la Gerencia de Diversidad y la ESU para conocer propuestas de Inclusión Laboral y Seguridad, respectivamente</t>
  </si>
  <si>
    <t>5.	En el Distrito Histórico se realiza reunión con los integrantes, revisando avances de la implementación de la transformación de este, y se invitó a Espacio Público para articular la subsecretaría en el proceso de transformación y apropiación</t>
  </si>
  <si>
    <t>6.	Se atiende a representantes de comerciantes del Centro Comercial Medellín, quienes manifiestan irregularidades en la administración de este espacio, y piden mayor control de la administración.</t>
  </si>
  <si>
    <t>7.	Se realiza acercamiento con la Vicerrectoría UNAULA. Con el fin de generar alianzas y apropiación del espacio público</t>
  </si>
  <si>
    <t>8.	El pasado 8 de agosto, estuvimos realizando con el equipo del Distrito San Ignacio y el teatro el trueque: El Encuentro Nómada Artes del Movimiento col.4, evento realizado en el sector de La Palencia y que contó con la participación de artistas nacionales e internacionales.</t>
  </si>
  <si>
    <t>9.          Sensibilización a comerciantes de zona de influencia de Plaza sobre la intervención integral del “Abrazo a Plaza Botero”, y se recogen testimonios que le cuenten a la ciudad lo que están viviendo en el lugar.</t>
  </si>
  <si>
    <t xml:space="preserve">10. Acompañamiento a la exposición de gigantografía de mujeres bomberas en las columnas del Metro en Bolívar entre San Juan y San Antonio, liderada </t>
  </si>
  <si>
    <t>1.	En Maturín, en el sector de Guayaquil, en los bajos del Metro, Espacio Público ubicó 14 ventas de comida con pipeta, lo que representa un gran riesgo además de ser un sector saturado con ventas informales</t>
  </si>
  <si>
    <t>2.	En el Barrio Prado, casa con alto riesgo de desplome que está bajo la custodia de la Alcaldía está siendo usada por habitantes de calle e ilegales. Ya se realizaron los respectivos diagnósticos técnicos del predio desde la SIF y DAGRD y la recomendación es demolición, pero no se cuenta con el presupuesto. Y los cerramientos que se han hecho para evitar el ingreso ilegal al predio son destruidos constantemente</t>
  </si>
  <si>
    <t>3.	En el Parque Zea se robaron las luminarias con sus bases por ser de material de interés para Habitante de Calle. La comunidad solicita adicionales reflectores que den mayor luminosidad</t>
  </si>
  <si>
    <t>4.	La problemática de Habitante de Calle en la Comuna 10 sigue en aumento.  No solo se ven más por más sectores, sino que cada día se conocen casos de agresividad con la comunidad</t>
  </si>
  <si>
    <t>5.	En Perpetuo Socorro el manejo del espacio público se ha visto afectado por vehículos motorizados que no respetan señalización y parquean en todas partes.</t>
  </si>
  <si>
    <t>1.	       Brigada Interintitucional Centro Consentido en Plaza Botero e inicio de agenda por parte de las diferentes dependencias para dar inicio a la activación del “Abrazo a Plaza Botero”</t>
  </si>
  <si>
    <t xml:space="preserve">2.         Preparación de la Brigada Centro ConSentido en el Perpetuo Socorro y Diagnóstico de la brigada CentroConSentido en El Chagualo. </t>
  </si>
  <si>
    <t xml:space="preserve">3. 	Actividades de Feria de Flores, articulados con comerciantes y colectivos de la Comuna 10.  Contamos con 4 eventos: Desfile de caballitos de palo, Desfile de Silleteritos, Cervantes Florece y Parques Seguros en Parque de las Luces, San Antonio y Plaza Botero. </t>
  </si>
  <si>
    <t xml:space="preserve">4.	Se presentará propuesta integral para la activación y recuperación del cementerio San Lorenzo. </t>
  </si>
  <si>
    <t xml:space="preserve">5.	Se realizará entrega de avances en el diagnóstico de centros comerciales populares a secretaria de Servicios y Suministros para articulación y apoyo en la toma de decisiones y necesidades que se requieran gestionar. </t>
  </si>
  <si>
    <t>Desarrollo De Brigada Interinstitucional en el Barrio San Benito</t>
  </si>
  <si>
    <t>Para la brigada del barrio San Benito, contamos con más de 5 dependencias de la alcaldía de Medellín, más de 20 funcionarios llevando oferta institucional. Para esta brigada beneficiamos 100 personas del sector, además realizamos un recorrido junto con la gerente del centro, por los establecimientos comerciales haciendo una campaña de sensibilización de residuos sólidos y escombros.</t>
  </si>
  <si>
    <t>Alcance en redes sociales  de la información de la Gerencia</t>
  </si>
  <si>
    <t>1.	Las publicaciones alcanzaron estas estadísticas en la última semana Número de Publicaciones: 59 Twitter 20.500 impresiones y 746 interacciones. Instagram 3.600 impresiones y 45 acciones Facebook 666 personas alcanzadas y 277 interacciones.</t>
  </si>
  <si>
    <t xml:space="preserve">Se Articuló la Reunión con la Junta Administradora Local del corregimiento Santa Elena para la socialización de la fechas en las cuales se va empezar a socializar el Distrito Rural Campesino (DRC) como cumpliendo del indicador que es parte la Gerencia de Corregimientos. </t>
  </si>
  <si>
    <t>Se articuló con EMVARIAS, el promotor local de gobierno y Secretaria de Medio Ambiente, jornada de sensibilización de Basuras en la vereda de Barro Blanco corregimiento Santa Elena.</t>
  </si>
  <si>
    <t xml:space="preserve">Nos reunimos con la subsecretaria de derechos humanos para generar un trabajo articulado en procura de generar un informe integral: salud, derechos humanos y Gerencia de Corregimientos de los predios de Santa Elena que hacen parte del Distrito Rural Campesino (DRC), evidenciando las situaciones vulneración de la población frente a violencia ejercidas por bandas criminales, desplazamiento entre otras. </t>
  </si>
  <si>
    <t xml:space="preserve">Se articuló una jornada de atención a la población migrante en el sector de barro blanco, con la articulación de Medellín Me Cuida Salud, OIM, Rescue. En el cual se realizó tamizajes visuales, auditivos, riesgos cardiovascular, nutricionales, aseguramiento en salud, medicina general, prevención de violencia basada en género.
</t>
  </si>
  <si>
    <t xml:space="preserve">Se acompañó la intervención de rocería, embellecimiento y mantenimiento al parque principal del corregimiento como preparación para la Feria de Flores.
</t>
  </si>
  <si>
    <t xml:space="preserve">Se articuló el desfile de silleteritos en el marco de Feria de Flores en el corregimiento Santa Elena, donde asistió el señor Alcalde. </t>
  </si>
  <si>
    <t xml:space="preserve">Se articuló la reunión de socialización del Distrito Rural Campesino en la centralidad del Corregimientos de San Sebastián de Palmitas con la Junta Administradora Local y el Consejo Corregimental de Participación. </t>
  </si>
  <si>
    <t>Se llevó a cabo la jornada de salud con articulación con Medellín me Cuida Salud, en la vereda la Frisola del corregimiento San Sebastián de Palmitas, los servicios de: Planificación familiar (hasta los 28 años de edad). Citologías (de 25 años hasta los 65 años de edad). Riesgo cardiovascular (A partir de los 18 años de edad). Nutrición (niñas de 2 a 17 años de edad). Tamizaje auditivo y visual para niños. Pruebas rápidas de VIH/Sífilis (Población clave). Asesorías en aseguramiento y salud. (Inscripciones a primera encuesta de Sisben, ingreso de personas a núcleo familiar en el Sisben, aseguramiento en EPS, entre otras). Salud mental (Psicólogos).</t>
  </si>
  <si>
    <t xml:space="preserve">Se participó en el encuentro sectorial, en el sector salud del corregimiento de San Sebastián de Palmitas, en el marco de las elecciones de los Consejos Corregimentales/Comunales de Participación, donde se hizo la construcción de los criterios para los candidatos y su postulación para el sector del cual salieron dos planchas. </t>
  </si>
  <si>
    <t xml:space="preserve">Se realizó recorrido en la vereda San José del Corregimiento San Cristóbal, para el seguimiento de la obra de infraestructura que se está llevando a cabo en el sector. </t>
  </si>
  <si>
    <t xml:space="preserve">No hay control del espacio de público en el parque de Santa Elena debido a la falta de personal de esta dependencia en el territorio. Lo que ha generado un incremento en la ocupación no autorizada de estos espacios. </t>
  </si>
  <si>
    <t xml:space="preserve">Se solicita de forma urgente una reunión con el SISBEN para atender la población de Altos de la Mora, ya que los habitantes del sector manifestan, que pese a suplir el trámite solicitado, han tenido negativas reiteradas para el ingreso a este. Es importante resaltar que es una población en condición de alta vulnerabilidad. </t>
  </si>
  <si>
    <t xml:space="preserve">Se sigue teniendo falta de personal por parte de las Dependencias que impiden cumplir con el objeto de las mesas interinstitucionales en las que se pueda llevar de forma eficiente la oferta institucional.
</t>
  </si>
  <si>
    <t xml:space="preserve">Se está pendiente de la viabilidad por parte de la Secretaria de Infraestructura de la construcción de las losas para los contenedores de basura, en procura de contrarrestar el mal manejo de los residuos que se ha tenido en diversos sectores del corregimiento de Santa Elena. Tema de suprema urgencia. 
</t>
  </si>
  <si>
    <t xml:space="preserve">Se asistirá el Consejo de Convivencia en Piedra Gorda el corregimiento Santa Elena en el marco del Decreto 199 de 1995.  </t>
  </si>
  <si>
    <t xml:space="preserve">Se asistirá a la reunión de logística que de la Jornada Humanitaria que se llevara a cabo en la estación de policía del corregimiento de San Antonio de Prado, para determinar insumos odontológicos y el aliado médico (CES o Uniremigton). </t>
  </si>
  <si>
    <t xml:space="preserve">Se asistirá al Comité local de gobierno AltaVista promovido por el Corregidor y articulado con el promotor local de convivencia. 
</t>
  </si>
  <si>
    <t xml:space="preserve">Se asistirá al consejo de convivencia ciudadana en la vereda aguas frías del corregimiento de Altavista. 
</t>
  </si>
  <si>
    <t xml:space="preserve">Se asistirá a reunión con la Junta Administradora Local y la Secretaria de Infraestructura con el objeto de la revisión en la ejecución el plan vial rural 2020 en el corregimiento de Altavista. </t>
  </si>
  <si>
    <t xml:space="preserve">Mediante la jornada de atención a la población migrante en la vereda barro blanco corregimiento de Santa Elena donde se llevaron servicios de tamizaje visual, auditivos, riesgo cardiovascular, nutricional entre otros. </t>
  </si>
  <si>
    <t xml:space="preserve">1. 13 Tamizajes visuales. 
2. 13 Tamizajes Auditivos 
3. 35 Tamizajes de riesgo cardiovascular 
4. 24 Tamizajes nutricionales. 
5. 16 asesorías en aseguramiento en salud.
6. Medicina general 21 Métodos .
7. 18 Sesiones de prevención de violencia basada en género 
8. 25 Orientación ETPV 
</t>
  </si>
  <si>
    <t xml:space="preserve">Se logró sensibilizar a los habitantes del sector de Barro Blanco, donde se ve una gran problemática de depósitos de basuras en lugares inadecuados. Lo que se ha reflejado en el adecuado acopio de los residuos y esto a permitido el mejoramiento del sector frente a temas paisajitos y salubridad. </t>
  </si>
  <si>
    <t>20 familias sensibilizadas</t>
  </si>
  <si>
    <t xml:space="preserve">Campaña biblioteca en tu barrio donde se regalaron más de 150 cuentos en el barrio la Palma del corregimiento de Altavista. 
</t>
  </si>
  <si>
    <t>Nos encontramos estudiando con Gerencia de Etnias para determinar proceso de curules de población NARP en el marco de las elecciones el CMJ.</t>
  </si>
  <si>
    <t xml:space="preserve">El miércoles 11 participamos en sesión de construcción del Sistema Municipal de Participación Ciudadana en el marco de la Mesa FOCI. </t>
  </si>
  <si>
    <t xml:space="preserve">El viernes 13 de 11 a 12 am tendremos reunión de "Mesa de Bienestares Universitarios" en el marco del programa de Salud Pública Juvenil y con el objetivo de retomar posibilidades de articulación. </t>
  </si>
  <si>
    <t>El jueves 5 nos reunión con Subsecretaría de Atención a la Ciudadanía para definir ruta y estrategias de comunicación para que los y las jóvenes, en el marco del proceso electoral al CMJ, puedan expedir su certificado de vecindad.</t>
  </si>
  <si>
    <t>Participación en la construcción del Mes por la Paz junto a la Secretaría de Inclusión.</t>
  </si>
  <si>
    <t xml:space="preserve">Junto a la Secretaría de Salud nos encontramos invitando a las juventudes para que asistan a los puntos de vacunación, a través del desarrollo de actividades recreativas y pedagógicas en diferentes puntos de la ciudad, Parque del Poblado, Parque del Periodista </t>
  </si>
  <si>
    <t>Continuamos con la construcción de los diferentes espacios que se tendrán en la Semana de la Juventud 2021 "Osadías"</t>
  </si>
  <si>
    <t>Continuamos con la formación en liderazgos positivos desde el proyecto Más que 90 Minutos.</t>
  </si>
  <si>
    <t>-	Continuación de los encuentros dirigidos a líderes comunitarios Jóvenes, buscando promover nuevos liderazgos, fortalecer las herramientas para la construcción de entornos protectores y de cuidado para los jóvenes en situación de riesgo o vulnerabilidad social e instaurar las conversaciones entorno a la prevención de la vulneración de los derechos y las libertades.</t>
  </si>
  <si>
    <t>Aporte y acompañamiento a la estrategia “vamos pal estadio” liderada por Desarrollo Económico en el marco de la reactivación económica y social de la UDAG.</t>
  </si>
  <si>
    <t>Se continua con la realización de talleres en el marco del proyecto “Juventudes tejedoras.</t>
  </si>
  <si>
    <t>Articulación con el Inder Medellín, para la orientación y asesoría de los diferentes procesos comunitarios que se acompañan desde Juventud.</t>
  </si>
  <si>
    <t>La semana del 16 inicia el proceso de formación a Agentes Protectores del SATMED en las seis (6) zonas de la ciudad y ruralidad de Medellín. Serán 600 personas quienes multiplicarán a 900 jóvenes de la ciudad.</t>
  </si>
  <si>
    <t>Nos encontramos realizando Observatorio en los territorios. Estrategia para dar a conocer a los jóvenes, las estadísticas, investigación y datos en general que desde el observatorio se tienen para su conocimiento, difusión y uso.</t>
  </si>
  <si>
    <t>Se realizó el 4 de agosto y contamos con la participación de 15 jóvenes.</t>
  </si>
  <si>
    <t>El 5 de agosto realizamos Taller Conscientes en la IE Jesús Amigo Intervención jóvenes grado 11° - taller consumo.
Como respuesta a problemática en temas de consumo de los grados décimo y once de la institución educativa, se comenzará con unos talleres semanales enfocados en el tema.</t>
  </si>
  <si>
    <t>contamos con la participación de 30 jóvenes.</t>
  </si>
  <si>
    <t>El 7 de agosto realizamos jornadas de amor para nuestros NNA Cancha - Colegio Progresar. Estrategia para dar a conocer los programas de la secretaria presentación del agente de cuidado en la zona y articular futuras proyecciones.</t>
  </si>
  <si>
    <t>contamos con la participación de 50 jóvenes.</t>
  </si>
  <si>
    <t>Realizamos un recorrido sobre la 70 para identificar los menores instrumentalizados comercialmente</t>
  </si>
  <si>
    <t>Contamos con la participación de 10 jóvenes</t>
  </si>
  <si>
    <t>Jhonatan Estiven Villada Palacio</t>
  </si>
  <si>
    <t>Secretario General</t>
  </si>
  <si>
    <t xml:space="preserve">El 9 de agosto se sostuvo reunión de la mesa de trabajo que adelanta la revisión y modificación de la circular 019 de 2017, sobre liquidación y pago de sentencias judiciales. </t>
  </si>
  <si>
    <t>El 10 de agosto se realizó reunión con el Municipio de Bello, la Secretaria de Suministros y la Secretaria de Infraestructura del Municipio de Medellín con el fin de analizar los avances en el cumplimiento de la sentencia derivada de la acción popular; finca El Cortado.</t>
  </si>
  <si>
    <t>El 10 de agosto se sostuvo reunión de la mesa de trabajo que está analizando la revisión y modificación de la resolución N°33 de 2017 referente a las políticas generales de defensa.</t>
  </si>
  <si>
    <t>El 10 de agosto se sostuvo reunión con el equipo administrativo de la Secretaria General y algunos servidores de la secretaria de innovación digital con miras a tratar asuntos relativos a los sistemas de información jurídica de la Subsecretaria de defensa y otros asuntos relacionados con la utilización de herramientas tecnológicas en el marco de la representación judicial.</t>
  </si>
  <si>
    <t>El 11 de agosto se sostuvo reunión con las abogadas de la Subsecretaria de Defensa que tienen a su cargo el estudio de algunos contratos entre suministro e ISVIMED con el fin de evaluar posibilidad de promover acciones judiciales.</t>
  </si>
  <si>
    <t xml:space="preserve">El 11 de agosto se sostuvo reunión entre la Subsecretaria de Defensa y la Subsecretaria de Prevención para analizar comunicación enviada por la secretaria de movilidad relacionada con el convenio suscrito entre el municipio de Medellín y el metro de Medellín para la operación del sistema masivo de trasporte de las cuencas 3 y 6. </t>
  </si>
  <si>
    <t>Se sostuvo reunión con servidores del Departamento administrativo de planeación, con el fin de estudiar aspectos relativos a la ley 2044 de 202 referencia a la formación de asentamientos humanos irregulares.</t>
  </si>
  <si>
    <t>Nos Encontramos realizando todo el acompañamiento al concejo de Medellín desde la proyección del concepto de viabilidad jurídica las diferentes sesiones, hasta la sanción de cada uno. Nos encontramos haciendo acompañamiento jurídico a los proyectos de acuerdo que se llevaran a cabo en las sesiones extras del concejo.</t>
  </si>
  <si>
    <t xml:space="preserve">Respuesta a múltiples peticiones de la comunidad y los entes de control </t>
  </si>
  <si>
    <t>Elaboración y presentación del informe de causas de demanda.</t>
  </si>
  <si>
    <t>Es necesario que se convoqué a una mesa de trabajo en la que este el señor alcalde bajo el liderazgo o de la secretaria de seguridad actual delegada para el cumplimiento del fallo STP 14283 de 2019  (Cárcel metropolitana )y él se entere al alcalde de las obligaciones y el alcance de cada una de ellas.</t>
  </si>
  <si>
    <t>Posición del municipio de Medellín en el sentido de continuar o no continuar con el  proyecto CAMIS YARUMAL.</t>
  </si>
  <si>
    <t xml:space="preserve">Reunión con algunos abogados de la Subsecretaria de defensa para analizar la demanda arbitral presentada por los operadores de las cuencas 3 y 6 del sistema masivo de trasporte donde eventualmente el municipio podrá ser llamado en garantía en este proceso. </t>
  </si>
  <si>
    <t>Junta directiva extraordinaria de savia salud.</t>
  </si>
  <si>
    <t>Reunión para analizar contratos suscritos por la secretaria de suministros y el ISVIMET, participan la Subsecretaria de defensa, la Subsecretaria de Prevención y la Secretaria de Suministros.</t>
  </si>
  <si>
    <t>Asistencia a reunión de mesa de invasiones</t>
  </si>
  <si>
    <t>Asistencia a comisión de estudio y debates de varios proyectos de acuerdo, con citación previa del consejo</t>
  </si>
  <si>
    <t xml:space="preserve">•	Cuadrilla de Señalización: Demarcación de Prohibido Parquear en Carrera 55 A entre Calle 49 y 50 Selección de Señales Verticales (Recuperables) en el patio de la Secretaría de Movilidad. Recorrido para Señalización Vertical en diferentes puntos de la ciudad. Demarcación de Acopios para Taxis Eléctricos: Alpujarra y EPM Continúa demarcación de Ciclorruta en la Carrera 65 Borrado y retiro de Señales en el Pueblito Paisa y demarcación de flechas. Retiro de Señales por solicitudes PQRS.
•	Se respondieron observaciones realizadas al pliego para el contrato Obra de Señalización Vial 2021. Se recibió aval para publicar el concurso de méritos para el contrato de Interventoría de Señalización Vial 2021. Se elaboró formato para la evaluación de Proponentes para el contrato de Obra de Señalización Vial 2021.
•	Se continuó con la evaluación de Proponentes para el contrato de Obra de Semaforización 2021 en SECOP II. Se revisaron Observaciones de Proponentes para el contrato de Obra de Semaforización 2021 en SECOP II. Se revisaron Subsanaciones de Proponentes para el contrato de Obra de Semaforización 2021 en SECOP II. Restablecimiento de ARS: - Edificio los Espejos – Colombia.
•	Se hizo la entrega del informe técnico que viabiliza la reducción del límite de velocidad a 50km/h del sistema vial del río, y demás actuaciones encaminadas a la reducción de la incidentalidad del corredor.
</t>
  </si>
  <si>
    <t xml:space="preserve">•	Con los agentes de transito se realizará apoyo a los diferentes cierres y eventos en el evento de Feria de Flores.
•	Con el equipo de transformación Cultural y educativa se realizarán actividades estratégicas enmarcadas en gran medida en temas de prevención de la conducción bajo los efectos del alcohol y promoción del enfoque Visión Cero Medellín, en los diferentes eventos de Feria de Flores.
•	Se están realizado puntos pedagógicos para peatones y motociclistas en los puntos de mayor incidentalidad identificados durante los últimos 4 años en la comuna 10 y 11, este ejercicio tiene como objetivo dar a conocer los riesgos asociados a la incidentalidad y promover conductas seguras en este actor vial.
•	La Secretaria de Movilidad con los Agentes de tránsito y en articulación con el PMU(puesto de mando unificado) continúan Apoyando a los diferentes cierres presentados en las manifestaciones realizadas en la ciudad, garantizando la presencia de los agentes de tránsito en las vías.
</t>
  </si>
  <si>
    <t xml:space="preserve">•	Se realiza ajustes a presupuesto de Vegas y se hace reunión con el AMVA para definir últimos ajustes antes de su radicación.
•	Se hace reunión con la líder de proyectos estrátegicos del DAP para definir revisión de intercambio vial de San Juan, proyectos priorizados por SIF.
•	Se presentó el proyecto y sus avances ante la Mesa de Movilidad ECOCIUDAD con FENALCO.
•	Como implementación del Plan de Intervención Social se llevaron a cabo 3 puntos de información, 2 talleres y 2 reuniones con públicos estratégicos.
</t>
  </si>
  <si>
    <t xml:space="preserve">•	Se realizó revisión del inventario de publicaciones en el Link de Transparencia para la Secretaría de Movilidad y se envió a Planeación la matriz actualizada con observaciones sobre las publicaciones de Movilidad, igualmente se envió correo a los líderes de la publicación de información en la página web de la Secretaría y al web master para la actualización de los contenidos.
•	Se logró definir en reunión con el Equipo de Terminales la necesidad de la integración del Servicios Geográficos para la App Zona Zer con la información existente en la base de datos Geográfica del Municipio. Para este se definir realizar reuniones técnicas que permitan definir como se realizará el desarrollo para que desde la app Zona Zer se logre tomar la información de la base de datos geográfica del Municipio y no la que de Google.
•	Se consolidó la propuesta de plan de compras de los proyectos 200422, 200423, 200424 y se diligencio el formato establecido para el proyecto 200423 en el tema misional.
•	En articulación con la Subsecretaría de Seguridad Vial y Control se documentó el plan de mejoramiento por la acción 3250 relacionado con la inoportunidad en la entrega de los comparendos por parte de los Agentes de Tránsito.
</t>
  </si>
  <si>
    <t xml:space="preserve">•	El OM presentó el proceso de gestión de velocidad desarrollado en la Autopista Norte en la Convocatoria realizada por el Consejo Iberoamericano de Movilidad Segura y nuestra practica fue seleccionada como destacada en América Latina, en consecuencia tendremos la posibilidad de presentarla en la Conferencia de: Buenas Prácticas en la Región en control de velocidad, el próximo 12 de agosto de 2021 en el marco del Proyecto Gestión de la Velocidad Argentina. El OM presentó el proceso de gestión de velocidad desarrollado en la Autopista Norte en la Convocatoria realizada por el Consejo Iberoamericano de Movilidad Segura y nuestra practica fue seleccionada como destacada en América Latina, en consecuencia tendremos la posibilidad de presentarla en la Conferencia de: Buenas Prácticas en la Región en control de velocidad, el próximo 12 de agosto de 2021 en el marco del Proyecto Gestión de la Velocidad Argentina.
•	Definición de las acciones a implementar como parte de los planes de mejoramiento planteados por la Secretaría de Movilidad con respecto al informe final de la auditoría realizada a Plan Integral de Gestión de la Calidad del Aire del Valle de Aburra. PIGECA 2017-2030.
•	METRO y AMVA se comprometieron para la entrega de 2 productos para la ejecución de las acciones No.18 y 20 del convenio interadministrativo, correspondientes a la experiencia en mantenimiento de vehiculos eléctricos y la importancia de la movilidad eléctrica en la ciudad por parte de METRO y modelaciones de emisiones anuales para el valle de aburrá por parte del AMVA.
•	Se sostuvo reunión del grupo de politicas publicas donde se definió que las acciones No.1, 2, 3 y 22 son viables para trabajarlas dentro del grupo.
</t>
  </si>
  <si>
    <t>•	Se capacitaron 121 agentes de tránsito sobre el diligenciamiento de comparendos de tránsito para reducir el riesgo de revocar comparendos por irregularidades en su diligenciamiento.
•	Se solicitó autorización al equipo de Normalización de Hacienda y que este tenga acceso a los expedientes, solo para lectura.
•	Se prestó sin interrupción el servicio integral relacionado con asuntos contravencionales de tránsito y transporte: audiencias, entrega de vehículos, respuesta a tutelas y peticiones y comisiones judiciales. 
•	Presentación de la versión final del informe extraordinario de supervisión y solicitud de procedimiento administrativo sancionatorio en contra de GEXTION S.A.S, anterior empresa interventora del Convenio Interadministrativo SMM - UNE TELCO S.A.</t>
  </si>
  <si>
    <t>Teniendo en cuenta la alta ocupación de los patios para la inmovilización de los vehículos el cual se encuentra en el siguiente estado (Consecución nuevo parqueadero, Ocupación 100% Motocicletas y 100% Automóviles), se requiere ver la viabilidad de asignar recursos para la consecución de un nuevo lote para parqueadero de los vehículos que se inmovilizan.
La capacidad de adición del contrato actual 4600089098 es de 3.5 meses, contados a partir de- Octubre (16-30), Noviembre y Diciembre del presente año y para el mes de enero de la vigencia 2022, lo que ocasionaría dejar sin operación el contrato desde el 1 de febrero hasta el 19 de junio de 2022, debido a las restricciones de la Ley de garantías. Por lo anterior se presentan las siguientes alternativas, con el fin de evitar la interrupción de la prestación del servicio. 1. Contrato con vigencias futuras: Se realizó proyección del presupuesto, de acuerdo con el comportamiento financiero del proyecto. 2. Suscribir un contrato nuevo: El cual iniciaría el 16 de octubre de 2021, priorizando recursos para la actual vigencia por valor de $11.242.984.872.</t>
  </si>
  <si>
    <t xml:space="preserve">Entre el 17 y el 31 de agosto del presente año, se llevará a cabo la auditoría  externa  de sguimiento al Sistema Integral de Gestión de la Alcaldía de Medellín- proceso Movilidad ( ISO:9001:versión 2:15). Pendiente que la Subsecretaría de Desarrollo Organizacional informe la fecha de auditoría del proceso Movilidad.
Hallazgos en el registro de retención en la fuente que deben subsanarse, como direcciones no válidas, retención a personas juridicas, entre otros. Se adelantan mesas de trabajo con UNE para solicitar acciones inmediatas
Continúan sin contratar el personal de apoyo a la Supervisión del Contrato de Une para los temas de la Unidad Administrativa
</t>
  </si>
  <si>
    <t>En reunión con el señor Alcalde, se definió que el proyecto de acuerdo de la contribución de parqueaderos no será presentado en sesiones extraordinarias del Concejo, ya que se estudiará la posibilidad de que se presente en las sesiones ordinarias que inician en octubre. Esta situación, retrasa considerablemente el inicio de la contribución y la generación de ingresos para el transporte público.
El intercambio vial de San Juan con la 80 es un proyecto que no tiene ciclorruta diseñada, ni se ejecutará en este contrato, al no hacerla dejariamos de unir dos de las comunas principales que se mueven en bicicleta como es San Javier y La América
Estos eventos son comunicados a través de la Mesa Institucional ZUAP, y los enlaces de diferentes secretarias no están asistiendo a este espacio.
( ZUAP) Del desarrollo de las acciones priorizadas dependen los escenarios a modelar por el AMVA en el contrato con UPB del presente año.
Las medidas propuestas para implementación de ZUAP deberían ser presentadas a los gremios.</t>
  </si>
  <si>
    <t>Acción 1: Se radica ante el AMVA presupuesto de Vegas para la cofinanciación del primer tramo de Ciclorruta Norte Sur.
Acción 2: Se realiza reunión con DAP para revisar pasos a seguir con el fin de que el intercambio vial de San Juan con la 80 posea ciclorruta.
Acción 2: (ZUAP)Se presentará el proyecto a los asociados de APARCA. (Propietarios de parqueaderos del centro).
(ZUAP)Acción 3: Se planea continuar la implementación del Plan de Intervención Social ejecutando actividad de sensibilización, relacionamiento y acompañamiento de eventos.</t>
  </si>
  <si>
    <t xml:space="preserve">Se iniciará capacitación del Equipo de Circulación para la evaluación de Proponentes para el Contrato de Señalización Vial.
Se continuará proceso de selección de Proponentes en SECOP II para el Contrato de Semaforización 
Se llevarán a cabo elecciones del Concejo Comunal y Corregimental de Planeación: Comuna 15 - Guayabal.
Señalización de Zona Escolar en la Carrera 57 con Calle 20 (Preescolar La Casita del Saber)
Se entregará a la Subsecretaría Legal el informe técnico donde se consideran modificaciones en el pico y placa para vehículos particulares
Se continua con la revisión y elaboración de todas las programaciones semaforicas de la Zona ZUAP en software Lisa +
Se continua con el diseño de planes nocturnos corredor de la calle 104.
</t>
  </si>
  <si>
    <t>Verificar que el Web Master haya actualizado la información enviada desde el Equipo de Sistemas de Información.
Verificar el estado de avance de la integración de la información geográfica del municipio a la APP Zona Zer.
Esperar el techo asignado por el DAP y la Secretaría de Hacienda para continuar la consolidación.
Documentar en isolucion el plan de mejoramiento por accion 3250.</t>
  </si>
  <si>
    <t>Se continuarán con las intervenciones priorizadas de acuerdo a los puntos de mayor incidentalidad y mortalidad en los territorios y con puntos pedagógicos en la continúan 3 Manrique.
Se realizarán acciones pedagógicas en el marco de Feria de las Flores desde el jueves 12 de agosto, las intervenciones estarán dirigidas a temas de prevención de la conducción bajo los efectos del alcohol y promoción del enfoque Visión Cero Medellín, y con los agentes de tránsito se realizará apoyo a los diferentes cierres y eventos.
Se continúa con los Agentes de Tránsito y en articulación con la policía operativos de control a la informalidad, y se continua con operativos tendientes a velar por el cumplimiento de las demás normas de tránsito y transporte.
El Lunes 17 de agosto se celebrará el día del peatón con diversas intervenciones en la ciudad: actividades en la ZUAP, lugares de mayor riesgo de incidentalidad para peatones y conversatorio sobre víctimas de incidentes viales y discapacidad de origen vial.</t>
  </si>
  <si>
    <t>Elaboración de estudio jurídico preliminar relacionado con la posibilidad de demarcar y señalizar de manera distintiva los acopios de taxis eléctricos.
Elaboración de estudio jurídico preliminar relacionado con los instrumentos jurídicos para entregar algunos buses eléctricos para la operación y reposición de un número igual de vehículos de combustión tradicional, incluyendo la prestación de la energía como servicio.  
Se definirá en reunión la implicación de la suspensión de términos respecto de los procesos de Cobro Coactivo y la manera en que se seguirán aplicando.
 Se presentará concepto de los intereses moratorios para los respectivos vistos buenos y posteriormente para la firma del señor Secretario.</t>
  </si>
  <si>
    <t xml:space="preserve">Se acompaño el evento de mercados campesinos en articulación son la Secretaría de Cultura y la Secretaría de Desarrollo Económico.
Se logró el relacionamiento con mercados campesinos y la subsecretaria de turismo.
Se están llevando a cabo las estrategias pedagógicas de Transformación Educativa y Cultural con las cuales se ha logrado intervenir un total de 91.378 personas hasta el 8 de agosto de 2021.
Se participó en el evento Cultura Parque el sábado 7 de agosto en el corregimiento de Santa Elena con un sketch Teatral e intervenciones itinerantes de Visión Cero, durante la jornada se sensibilizó un total de 780 personas.
Con la intervención pedagógica en la ZUAP desde enero de 2021 se han intervenido un total de 21.309 personas entre ciudadanos, comerciantes y públicos de interés de la Zona Urbana de Aire protegido.
 Se continúa con los Agentes de Tránsito y en articulación con la policía operativos de control a la informalidad e ilegalidad, de los controles realizados se tienen los siguientes resultados en el periodo 1 de Enero  al 10 de agosto  de 2021:   1526 comparendos y 1353 inmovilizaciones.
Expedición del Decreto 585 de 2021, “por medio del cual se establece la rotación y reglamentación de la medida de pico y placa para los vehículos que prestan el servicio público de transporte terrestre individual de pasajeros – taxis, para el segundo semestre del año 2021”.
Se gestionó solución para realización del proceso de notificación en el proceso de reincidencia.
Expedición de estudio jurídico relacionado con la viabilidad jurídica para que la Secretaría de Movilidad de Medellín solicite al Ministerio de Transporte para que por medio del Registro Único Nacional de Tránsito – RUNT apruebe el registro para que dicte cursos sobre normas de tránsito como lo realizan los Centro Integrales de Atención sin la necesidad de ofrecer los servicios de una casa-cárcel. Este estudio jurídico permite garantizar el cumplimiento al Acuerdo Laboral 59.
Se adelantaron acciones de mejora en los procesos de audiencias por D12,  notificación de comparendos por fotodetección y en unificación de criterios para elaboración de comparendos por abandono. 
</t>
  </si>
  <si>
    <t>Alethia Arango Gil</t>
  </si>
  <si>
    <t>Se realizó durante la presente semana 164 inspecciones oculares, aumento de 3 inspecciones respecto a la semana anterior.
Se logró generar 38 respuestas a solicitudes de inspección clasificadas como PQRS tanto por mercurio como por el correo institucional del equipo.
Se gestionan 141 certificados quedan pendientes para revisión y firma directora del DAGRD.
Se realiza recorrido e inspección general a evento REACTIVACION DE LAS FLORES; se realizan observaciones como ampliación de corredores y palcos.
Se realizan 8 inspecciones a los centros comerciales de la zona pichincha y Carabobo dentro del proceso de acción popular.</t>
  </si>
  <si>
    <t>1. Capacitación Cosegrd 
2. Reunión del Comité de Enlace y Seguimiento 
3. Capacitación planes de GRD - UNGRD
4. Capacitación Plan de Acción de Cambio Climático 
5. Reunión mesa estratégica del Centro</t>
  </si>
  <si>
    <t>Celebración del día Municipal del Bomberos, reconocimiento de algunos de los funcionarios que se destacan por su labor y compromiso con la institución.
Presentación de propuesta y avance en gestión con secretaría de gobierno, para activar escuelas de formación Cuerpo Oficial de Bomberos Medellín.</t>
  </si>
  <si>
    <t>Reunión Comisión Local de Seguridad, Comodidad y Convivencia en el Fútbol – CLSCCF_, martes 3 de agosto.
Capacitación Empresarios y organizadores de eventos como tramitar los permisos en la Ventanilla Única para Eventos_, Viernes 6 de agosto de 10:00 a 12:00 en Salón #2 de Gran Salón en Plaza Mayor.
Evento Desfile de Silleteritos_, Sábado 7 de agosto en el Corregimiento de Santa Elena.</t>
  </si>
  <si>
    <t>Dentro del componente estratégico de gestión de riesgo y comunidad, se viene preparando el simulacro de evacuación comunitaria en el sector Pacifico, de la comuna 8. en esta zona se emitió una urgencia manifiesta por riesgo de inundación que puede afectar a 350 hogares del sector. con la JAC se ha avanzado en la identificación de riesgos, se dividió el sector en zonas para evacuar y ya se definieron rutas de evacuación, de manera simulada. Esta semana se articulan acciones con otros actores institucionales, que apoyen estas acciones de organización comunitaria ante la respuesta.</t>
  </si>
  <si>
    <t>Se opera el módulo de despacho de emergencias en el 123 desde el cual se atendieron 146 situaciones de emergencia, se atienden 80 personas lesionadas y resultan 3 personas fallecidas. Así mismo se recibieron 23 solicitudes de inspección por riesgo que fueron verificadas y programadas para ser visitadas por el personal del equipo técnico del Dagrd.</t>
  </si>
  <si>
    <t>Alerta en gestión: Se realizó un estudio de riesgo laboral sobre riesgo químico del cuerpo oficial de bomberos, las máquinas están al frente de los dormitorios, se encontró Benceno en orina en 38 bomberos, Benceno es un cancerígeno tipo A, la recomendación de modificaciones son de infraestructura, solicitamos apoyo de gestión humana y se han generado recomendaciones a la (unidad de riesgo Laboral).</t>
  </si>
  <si>
    <t>Alerta en gestión: Por lo cambios en los contratistas con el convenio interadministrativo con el TdeA, se ha generado una alerta por el manejo que se le ha dado desde la supervisión del contrato, estos cambios no ha generado buena aceptación, y está generando ruidos desde el concejo de Medellín específicamente el Concejal Alfredo Ramos.</t>
  </si>
  <si>
    <t>Buscar acordar con el Departamento Administrativo de Planeación, la posibilidad de recibir los indicadores presentados en días pasados, con algunos ajustes realizados a las observaciones de los indicadores de resultado y lograr la viabilidad técnica por parte del DAP, teniendo en cuenta que se ha dado cumplimiento a los requerimientos realizados, se esta avanzando de manera progresiva, se cuenta actualmente con la contratación para la socialización e implementación de la PPTGRDM, y que se tiene todo el compromiso para realizar de manera detallada el plan de acción una vez aprobada. Esta solicitud se hace en aras de poder tener el tiempo necesario para surtiendo los demás requisitos de viabilidad (jurídica) presentar en las sesiones de octubre del Concejo, el proyecto de acuerdo para su aprobación y lograr el acuerdo para este 2021.</t>
  </si>
  <si>
    <t>Para el próximo 12 de agosto daremos inicio a la creación del comité de genero del COBM, en concordancia con el programa nacional que lidera la dirección nacional de bomberos de genero. Se ha generado la mesa de trabajo en articulación con la secretaria de mujeres y la presencia del cuerpo oficial de bomberos Medellín y el DAGRD.</t>
  </si>
  <si>
    <t>Inician actividades en el marco de la feria de las flores son 294 actividades de las cuales 45 contaran un acompañamiento constante por su grado de riesgo, que representan el 15% del total de las actividades.</t>
  </si>
  <si>
    <t>Entrega de base de datos establecimientos comerciales enviada por secretaria de gobierno donde se debe indicar por comunas los bares o discotecas que ya cuentan con el certificado de bomberos para poder ser ingresados en el programa convive la noche.</t>
  </si>
  <si>
    <t xml:space="preserve">Preparación del evento Medellín y sus aliados internacionales, con la participación de los proyectos de cooperación internacional del DAGRD, con la Universidad de Edimburgo, Universidad Heriot Watt, Proyecto alemán de aseguramiento de ciudad con las aseguradoras Willis Tower Watson, proyecto de informarisk con el gobierno alemán instalación de instrumentos de monitoreo y la participación con las naciones Unidas para la reducción del riesgo de desastres como Medellín ciudad resiliente 2030. 
</t>
  </si>
  <si>
    <t xml:space="preserve">Se continúa con el acompañamiento que desde el DAGRD se le hace  a la Unidad de Gestión del Riesgo Laboral en la actualización del Plan maestro de emergencias, a hoy se vienen realizando los ajustes a los objetos de impacto: Imagen institucional, se espera por parte de la Secretaría de Comunicaciones la revisión y ajuste a las descripciones según la escala de valor. Económico: se espera la revisión por parte de los responsables de las Pólizas desde la Secretaria de Secretaría de Suministros y finalmente se realizará una reunión con los encargados del tema de riesgo Público en la Alcaldía para ser incorporado en el Plan Maestro. 
</t>
  </si>
  <si>
    <t>Esta semana se continúa trabajando con la Institución educativa Santa Elena capacitando a más de 60 alumnos en temas de territorio seguro y gestión de riesgo ambiental. Además se tienen programadas reuniones con nuevas instituciones en la comuna 15 y con la mesa ambiental de la misma comuna con el objetivo de generar articulaciones.</t>
  </si>
  <si>
    <t xml:space="preserve">Jornada intensiva de capacitación a los alumnos de la institución educativa Pedro Amado Herrera en la comuna 16.
</t>
  </si>
  <si>
    <t>Si dato</t>
  </si>
  <si>
    <t>Se realizará articulación con el colegio Marymount  y el Euskadi con el fin de replicar el trabajo que se viene realizando en el INEM y en el Colegio La Enseñanza,  en compañía de Secretaria de Juventud y Secretaria de la mujer. En este taller se trabaja la sensibilización en GRD.</t>
  </si>
  <si>
    <t>Se han sensibilizado hasta el momento en el plan piloto: 
IE INEM: 148 estudiantes
Colegio La enseñanza: 130 estudiantes</t>
  </si>
  <si>
    <t>Se realizo recorrido con el gestor de control territorial, Sec de Seguridad y Convivencia, Sec de Salud,con la finalidad de sensibilizar la comunidad en la compra de predios ilegales y al mismo tiempo la posibilidad de ser una zona de alto riesgo; asimismo se les indico la ruta a seguir en caso de una potencial emergencia, teniendo en cuenta uno de los fenómenos amenazantes -movimiento en masa- para esta zona de la ciudad.  Comunas 1 y 3</t>
  </si>
  <si>
    <t>Continuar con el intercambio de experiencias sobre COVID-19 como escenario de riesgo con las empresas, Instituciones públicas y comerciantes pertenecientes a los COSEGRD. Para la próxima semana se tienen programados los COSEGRD de Carabobo Norte, Guayaquil, Guayaquil El Hueco y Alpujarra Comuna 10</t>
  </si>
  <si>
    <t>De forma exitosa se tuvo el primer encuentro con las empresas  ubicadas en el sector de Caribe y que pertenecen al COSEGRD que lleva su mismo nombre, en esta reunión se contó con la participación de Empresas como Coca Cola, Fiscalía, Carnes Casa Blanca, Colanta, AFC Colanta, Sapiensa, Metro de Medellín , Terminal de Transporte Norte, IDJ SAS, entre otras. La intención fue la de realizar un intercambio de experiencias a  partir de todo lo que las empresas han debido adaptar a partir del escenario de riesgo de COVID-19 que ha significado tanto en las empresas. adicionalmente en este espacio, también se compartió la experiencia positiva del DAGRD frente a COVID-19.</t>
  </si>
  <si>
    <t xml:space="preserve">Se desarrollará el día 10 de agosto con los COSEGRD de Barrio Colombia y Ciudad del Río, el intercambio de experiencias a  partir de todo lo que las empresas han debido adaptar a partir del escenario de riesgo de COVID-19 que ha significado tanto en las empresas y su continuidad del negocio. Comuna 14
</t>
  </si>
  <si>
    <t xml:space="preserve">Se desarrollará el día 11 de agosto con los COSEGRD de Guayabal 1 y 2, el intercambio de experiencias a  partir de todo lo que las empresas han debido adaptar a partir del escenario de riesgo de COVID-19 que ha significado tanto en las empresas y su continuidad del negocio. Comuna 15 Guayabal
</t>
  </si>
  <si>
    <t xml:space="preserve">Se continúa con el acompañamiento a los residentes  del Conjunto Residencial Atavanza en  la elaboración del Plan de Prevención, Preparación y Respuesta a Emergencias, vale la pena recordar que fueron afectados por un movimiento en masa el 24 de marzo de 2021, la respuesta es cada vez mejor, ellos mismos desarrollan los componentes del documento, se fijan responsabilidades y se observa un compromiso creciente con relación a este instrumento que propiciará un mejor entorno seguro. Comuna 16 Belén
</t>
  </si>
  <si>
    <t xml:space="preserve">Se continua con el proceso de acompañamiento a la IE El Rosal de Castilla apoyando a la gestora de la comuna Lia Sierra. Se inició con capacitación a 50 estudiantes y se continuará con orientación en la actualización del plan escolar de gestión de riesgo a 12 docentes. Posteriormente se continuara el proceso formativo con otros grupos y grados de estudiantes.  Comuna 5 Castilla
</t>
  </si>
  <si>
    <t>capacitación a 50 estudiantes y se continuará con orientación en la actualización del plan escolar de gestión de riesgo a 12 docentes</t>
  </si>
  <si>
    <t xml:space="preserve">Desde el año anterior se realiza de manera sostenida y en proceso, el acompañamiento a instituciones Educativas en el tema de gestión de riesgo en la escuela. Se ha trabajado con instituciones educativas oficiales y con instituciones que atienden la primera infancia. Particularmente se ha trabajado con la IE San Vicente con formación a aproximadamente 250 estudiantes. IE Alfonso Upegui con formación a 100 estudiantes. En Jardines infantiles se acompaña a El Laguito con 15 agentes educativas formadas. Comuna 7
</t>
  </si>
  <si>
    <t>formación a aproximadamente 250 estudiantes. IE Alfonso Upegui con formación a 100 estudiantes. En Jardines infantiles se acompaña a El Laguito con 15 agentes educativas formadas</t>
  </si>
  <si>
    <t xml:space="preserve">Se acompaña el comité comunitario de Palenque y Santa Margarita para organizar su capacidad de apoyo a al respuesta. Esta vez se realizo, en articulación con el COBM una capacitación en camillaje, que mas que la capacitación, buscaba el articular comités de la zona. Participaron 12 voluntarios, incluido los de comité comunitario La Montaña de San Cristóbal. 
</t>
  </si>
  <si>
    <t>Participación de 12 voluntarios</t>
  </si>
  <si>
    <t xml:space="preserve">Se acompaña el diseño participativo del plan de evacuación comunitario en el sector Pacifico en cuya preparación esta la JAC y favorecerá a 350 familias del sector. Ya se avanzó en la identificación de riesgos, la división sectorial del territorio, la definición de rutas de evacuación y se esta en la articulación intersectorial. En perspectiva, se realizará un simulacro de evacuación en articulación entre comunidad e instituciones del municipio.  Comuna 8
</t>
  </si>
  <si>
    <t>favorecerá a 350 familias del sector</t>
  </si>
  <si>
    <t xml:space="preserve">Se continua proceso de formación dirigida a estudiantes y docentes en la IE San Juan Bosco con participación de 20 estudiantes. Comuna 16
</t>
  </si>
  <si>
    <t>Participación de 20 estudiantes</t>
  </si>
  <si>
    <t xml:space="preserve">Realización de talleres en el colegio Héctor Rogelio de comuna 50, con 350 niños, niñas y adolescente              Participar en la mesa interinstitucional  de la comuna 80 en la cual se tratara el tema de la planeación de jornadas de oferta y articulaciones interinstitucionales. Comuna 50
</t>
  </si>
  <si>
    <t>Se logra alcanzar a 350 niños, niñas y adolescente</t>
  </si>
  <si>
    <t>Hugo Díaz Marín</t>
  </si>
  <si>
    <t>Director General Encargado</t>
  </si>
  <si>
    <t>Consolidación Campaña de seguimiento nutricional de los niños de Medellín.</t>
  </si>
  <si>
    <t>Reunión de articulación inclusión con la Secretaría de Inclusión Social  y Metroparques.</t>
  </si>
  <si>
    <t>Alistamiento centro infantil Comuna 2.</t>
  </si>
  <si>
    <t>Articulación con el despacho de la gestora social correspondiente al Festival y Congreso Buen Comienzo.</t>
  </si>
  <si>
    <t>Dialogo operadores en el evento “Una hora con el Director”.</t>
  </si>
  <si>
    <t>Difusión de selección del nuevo operador para la atención a los niños y las niñas de Santa Cruz.</t>
  </si>
  <si>
    <t>Avances para la contratación de los Otrosí de los contratos de modalidad institucional 8  horas, festival, otros eventos, y apoyo a la gestión.</t>
  </si>
  <si>
    <t>Articulación Metroparques, Fundación EPM, Secretaría de productividad, Medioambiente e infraestructura.</t>
  </si>
  <si>
    <t>Estructuración Vigencias futuras.</t>
  </si>
  <si>
    <t>Desarrollo de Facebook live correspondiente al mes de la lactancia materna.</t>
  </si>
  <si>
    <t>Articulación entre Buen Comienzo y varias ONG para la implementación de aparatos tecnológicos que permitirán que los niños y las niñas adquieren conocimiento en valle del software.</t>
  </si>
  <si>
    <t>Finiquitar procesos contractuales pendientes.</t>
  </si>
  <si>
    <t xml:space="preserve">Buen Comienzo inició la vacunación del refuerzo del rubeola y sarampión a todos los niños y niñas de las diferentes sedes. </t>
  </si>
  <si>
    <t>Impactará en gran manera el bienestar de 46.565 niños y niñas, en todas las comunas.</t>
  </si>
  <si>
    <t>Acercamientos con todos los operadores de Buen Comienzo por medio del espacio presencial, “Una hora con el Director” .</t>
  </si>
  <si>
    <t>Se atendieron los 38 operadores, que representan todas las comunas.</t>
  </si>
  <si>
    <t>Sensibilización de todo el talento humano de la Unidad.</t>
  </si>
  <si>
    <t>Asistieron aproximadamente 65 personas, incluyendo lideres, vinculados y contratistas.</t>
  </si>
  <si>
    <t>Acercamiento de los padres de familia Santa Cruz.</t>
  </si>
  <si>
    <t>Correspondientes a los 75 niños y niñas de la sede.</t>
  </si>
  <si>
    <t>FERIA DE LAS FLORES
Medellín sigue trabajando en la reactivación económica de la ciudad. En la Feria de las Flores 2021 Medellín será la primera ciudad del país en celebrar de manera presencial su evento cultural más representativo. La Feria se llevará a cabo del 12 al 22 de agosto. Tendrá 28 escenarios entre los que se destacan; el Escenario Futuro en el Teatro al aire libre Carlos Vieco; el Escenario Colombia en Ciudad del Río;  el Escenario Conexión en Plaza Gardel; el Ball de las Flores en el Aeroparque Juan Pablo II y se clausurará con el 64.ª Desfile de Silleteros en Estadio Atanasio Girardot el 22 de agosto. Los principales escenarios tendrán aforos controlados a través de inscripciones por medio de la APP de la Feria y www.feriadelasfloresmedellin.gov.co</t>
  </si>
  <si>
    <t xml:space="preserve">CULTURA PARQUE/ REACTIVACIÓN Y PP LGBTIQ+
El pasado 6 de agosto, se realizó una nueva activación de Cultura Parque en Bicentenario, y las actividades que acompañaron este evento estuvieron enmarcadas en la reactivación económica y la visibilización y promoción del reconocimiento a la población LGBTI. Se logró impactar a 392 personas. </t>
  </si>
  <si>
    <t xml:space="preserve">FERIA DE FLORES 
El 7 de agosto se llevó a cabo el Cultura Parque que sirvió como antesala a la Feria de las Flores, el corregimiento de Santa Elena fue el escenario en el que 2160 personas disfrutaron del desfile de Silleteritos y la inauguración de Exposición Florario Silletero, donde se abordó la tradición Silletera, y se conmemoró el simbolismo de cada una de ellas en su proceso de construcción. </t>
  </si>
  <si>
    <t>FERIA A RITMO DE BICICLETA 
10 de agosto Sicleada #476, Se realizará Acompañamiento a la Rodada nocturna Medellín Sin Fronteras. Junto al Colectivo La Magia de la Bicicleta se promueve el uso de la bicicleta para reconocer las comunas y sus espacios de disfrute para la ciudadanía. 
11 de agosto Taller de mecánica: Acompañamiento a la Sicleada nocturna del Colectivo Ciclas. En el punto de hidratación en el Parque Prado desarrollaremos acciones lúdicas en torno a la bicicleta, proyección de cortos, taller de dibujo y de mecánica básica, y carrera lenta. 
Realización de la Feria a Ritmo de Bicicleta para esta gran Actividad tendremos una reunión con jurados para socializar metodología de evaluación. Reunión con colectivos para revisar metodología de trabajo, avances y alertas. Revisión de inscripción y revisión de trámites.</t>
  </si>
  <si>
    <t>VOLUNTARIADO 
El pasado jueves 5 de agosto, se llevó a cabo “Tejiendo Redes de Voluntariado”, una actividad que se realizó en la Uva de la imaginación de Boston, en la que se pretendía generar una acción de movilización del voluntariado de Medellín para la construcción colectiva de planes de acción voluntaria, a través de la identificación de necesidades territoriales y la generación de alternativas de soluciones basadas en la cultura de la solidaridad, trabajo colaborativo y la movilización voluntaria articulada.
En este espacio, se buscó generar una comunicación hacia los grupos y redes de voluntariado para invitarlos a retomar su labor, a reencontrarse con otras personas que como ellos están dispuestos a ayudar y entregar su tiempo y saberes para aportar al beneficio de los demás</t>
  </si>
  <si>
    <t xml:space="preserve">CUARTA CONVOCATORIA DE ESTÍMULOS CIUDADANÍA CULTURAL 
Los ganadores de los estímulos serán acompañados profesionales, que iniciaron la primera etapa de recolección de documentación para ejecutar el recurso y llevar a cabo el desarrollo de la propuesta. Cada etapa contará con una capacitación que les brindará las herramientas a los profesionales para el seguimiento del estímulo. </t>
  </si>
  <si>
    <t>CULTURA PARQUE/ MEDELLÍN ME CUIDA
La estrategia de Medellín Me Cuida, llegará el 18 y 20 de agosto, al corregimiento de Altavista y a la calle 48 del Centro de Medellín, en el cual dos objetivos esenciales acompañarán las activaciones.
El 18 de agosto la actividad “Habitantes de calle reconstruyendo Mi Vida”, será una activación en la que se pretende sensibilizar esta población sobre los mitos y realidades acerca de la COVID 19, además, se consolidará este espacio para hacer especial énfasis en el cuidado y uso preventivo de tapabocas. 
Este espacio será una jornada de integración y activación a los espacios más vulnerables. 
El 20 de agosto, la activación se tomará el corregimiento de Altavista con la ruleta de mitos y realidades, realizaremos itinerancia en varios sectores de esta localidad, promoviendo el autocuidado y el uso del tapabocas.</t>
  </si>
  <si>
    <t xml:space="preserve">FERIA AL RITMO DE LA BICI
Este 14 de agosto se llevará a cabo esta actividad que congregarán 1.000 personas, 8 categorías, 2 abiertas y 6 premiables, en las cuales los participantes podrán jugar con su creatividad e innovación y, participar de este que será una gran jornada tanto para participantes como espectadores. 
Entre los primeros tres puestos, los ganadores recibirán una bicicleta eléctrica, bonos y kits para sus bicicletas. </t>
  </si>
  <si>
    <t xml:space="preserve">EL PARCHE DE LAS FLORES
Avanzan las inscripciones al concurso las cuales se cerrarán el 13 de agosto. El 16 de agosto los jurados harán los recorridos por las cuadras participantes y harán la deliberación correspondiente para realizar la premiación el 21 de agosto. </t>
  </si>
  <si>
    <t>PARQUE DE LAS FLORES – JUANES DE LA PAZ 
Este 14,15 y 16 de agosto la estrategia de Cultura Parque se tomará la comuna 5 específicamente el Parque Juanes de la Paz, como escenario de oferta de actividades enmarcadas en la Feria de las Flores, renombrando este como el Parque de las Flores, en el cual locales y transeúntes podrán disfrutar de tres jornadas llenas de cultura y arte.</t>
  </si>
  <si>
    <t xml:space="preserve">DESFILE DE SILLETERITOS.
Se difunde entre locales y turistas la visibilización de la memoria a través de las estrategias con articulaciones que promovieron en el corregimiento la exposición y el reconocimiento de la tradición silletera. </t>
  </si>
  <si>
    <t xml:space="preserve">2160 personas, participaron de una jornada que fue el preámbulo a la Feria de las Flores, en el que niños mostraron su creatividad con trajes típicos decoración de silletas y, una carga histórica que adornó el corregimiento en el marco de la reactivación económica de la ciudad. </t>
  </si>
  <si>
    <t>CULTURA PARQUE EN BICENTENARIO
Se logra visibilizar entre los participantes a través de las estrategias el reconocimiento por la diversidad y la diferencia.</t>
  </si>
  <si>
    <t xml:space="preserve">392 personas participaron de la oferta de actividades que estuvieron enmarcadas en el respeto y reconocimiento por la población LGTBI. </t>
  </si>
  <si>
    <t xml:space="preserve">Secretaria de despacho </t>
  </si>
  <si>
    <t>Actualmente la Subsecretaría tiene en curso 164 procesos de selección en las etapas de estudios previos (67), etapa precontractual (57) y contractual (40), los cuales de acuerdo a la modalidad se dividen de la siguiente manera: selección abreviada 60, régimen especial 15, mínima cuantía 20, licitaciones publicas 14, contratación directa 34, concursos de méritos 21</t>
  </si>
  <si>
    <t xml:space="preserve"> Los siguientes procesos están para adjudicar en la presente semana y la próxima
10/08/2021 Adquirir equipos de cómputo para el fortalecimiento de la transformación educativa y digital de la ciudad de Medellín Selección abreviada subasta inversa
10/08/2021 Prestar el servicio de área protegida médica Mínima cuantía
11/08/2021 Mantenimiento preventivo y correctivo de las torres de aire y el sistema neumático del Centro Logístico de la Secretaría de Movilidad. Mínima cuantía
11/08/2021 Convenio de asociación para desarrollar el Proyecto de la Red de Artes Plásticas y Visuales Ciudad de Medellín. Contratación régimen especial (con ofertas)
11/08/2021 Convenio de Asociación para desarrollar el proyecto de la RED DE DANZA ciudad de Medellín. Contratación régimen especial (con ofertas)
12/08/2021 Servicio de mensajería para surtir efectos de notificaciones de cobro coactivo y demás dependencias de la secretaría de movilidad de Medellín. Selección abreviada subasta inversa
13/08/2021 Adquisición de Infraestructura Tecnológica. Selección abreviada subasta inversa
17/08/2021 Consultoría para desarrollar la primera etapa del diseño del Sistema Municipal de Cuidados con enfoque de género y derechos. Concurso de méritos abierto
</t>
  </si>
  <si>
    <t xml:space="preserve">Los siguientes procesos se publicaron esta semana en SECOP ll
3/08/2021 Mantenimiento general de maquinaria pesada y equipos de pavimentación. Selección abreviada subasta inversa
4/08/2021 Realizar los estudios y diseños eléctricos de los Centros Comerciales Populares. Concurso de Méritos Abierto
5/08/2021 Estudios y diseños para las adecuaciones físicas de la zona de bienestar y esparcimiento de los servidores de la secretaria de Movilidad. Concurso de Méritos Abierto
6/08/2021 Agenciamiento aduanero para trámites de importación y operación logística de los equipos destinados al Proyecto para el mejoramiento del tráfico en Medellín, Colombia# Selección abreviada menor cuantía
6/08/2021 Prestar el Servicio de transporte escolar
para los estudiantes de Instituciones Oficiales residentes en el Municipio de Medellín Selección abreviada subasta inversa
9/08/2021 Adquirir pólizas de seguros. Licitación pública
</t>
  </si>
  <si>
    <t>Reiteración a respuesta de Derecho de Petición, remitido por el Concejo de Medellín de los terrenos y/o lotes de los cementerios de la ciudad de Medellín.</t>
  </si>
  <si>
    <t>Evaluación e informe del Plan Anticorrupción.</t>
  </si>
  <si>
    <t xml:space="preserve"> Se asistió a reunión para tratar temas de logística del transporte para la Feria de Flores con la Secretaría organizadora y se apoyó con la proyección presupuestal para el Desfile de Silleteros</t>
  </si>
  <si>
    <t>Seguimiento y control al desarrollo del Plan Anual de Adquisiciones.</t>
  </si>
  <si>
    <t>Capacitación en Contratación al DAP.</t>
  </si>
  <si>
    <t>Reunión con la Gerencia de Corregimientos y la Corregidora de Palmitas para viabilizar cesión gratuita del lote de terreno para vía sector Murrapal de la Vereda la Suiza.</t>
  </si>
  <si>
    <t>Reunión con la Dirección de Planeación para análisis de posible entrega del predio de TeleMedellín al Municipio de Medellín y entrega de Obligaciones Urbanísticas.</t>
  </si>
  <si>
    <t xml:space="preserve"> ISVIMED: Continúa enviando informes mensuales sin ejecución. No se logra ningún avance de sus obligaciones contractuales.</t>
  </si>
  <si>
    <t>Recordar la importancia de aprobar los diferentes documentos en SECOP con oportunidad y que no se hagan publicaciones extemporáneas (ejemplo FAO se allego varios días después la minuta suscrita, lo cual implica una publicación extemporánea)</t>
  </si>
  <si>
    <t>Reserva de aseo contrato de educación.</t>
  </si>
  <si>
    <t>Atención de requerimientos de mantenimiento de obras civiles, eléctricas y muebles en diferentes oficinas y sedes</t>
  </si>
  <si>
    <t>Participación en la reinducción a nivel Directivo en temas de contratación.</t>
  </si>
  <si>
    <t>Inicio Ruta Medellín Cuida Lo Público 18 de agosto</t>
  </si>
  <si>
    <t>Proyección presupuestal POAI y Plan de Acción de la Secretaría de Suministros y Servicios.</t>
  </si>
  <si>
    <t>Ruta Medellín Cuida Lo Público</t>
  </si>
  <si>
    <t>no aplica</t>
  </si>
  <si>
    <t>18/08/21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</si>
</sst>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rgb="FF000000"/>
      <name val="Calibri"/>
    </font>
    <font>
      <b/>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applyFont="1" applyAlignment="1"/>
    <xf numFmtId="0" fontId="0" fillId="0" borderId="1" xfId="0" applyFont="1" applyBorder="1" applyAlignment="1"/>
    <xf numFmtId="22" fontId="0" fillId="0" borderId="1" xfId="0" applyNumberFormat="1" applyFont="1" applyBorder="1"/>
    <xf numFmtId="0" fontId="0" fillId="3" borderId="1" xfId="0" applyFont="1" applyFill="1" applyBorder="1" applyAlignment="1"/>
    <xf numFmtId="0" fontId="0" fillId="0" borderId="1" xfId="0" applyFont="1" applyBorder="1" applyAlignment="1">
      <alignment wrapText="1"/>
    </xf>
    <xf numFmtId="0" fontId="0" fillId="2"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0" fillId="0" borderId="1" xfId="0" applyFont="1" applyFill="1" applyBorder="1" applyAlignment="1"/>
    <xf numFmtId="22" fontId="0" fillId="0" borderId="1" xfId="0" applyNumberFormat="1" applyFont="1" applyFill="1" applyBorder="1"/>
    <xf numFmtId="0" fontId="1" fillId="2" borderId="1" xfId="0" applyFont="1" applyFill="1" applyBorder="1" applyAlignment="1">
      <alignment horizontal="center" vertical="center"/>
    </xf>
    <xf numFmtId="14" fontId="1" fillId="2" borderId="1" xfId="0" applyNumberFormat="1" applyFont="1" applyFill="1" applyBorder="1" applyAlignment="1">
      <alignment horizontal="center" vertical="center"/>
    </xf>
    <xf numFmtId="14" fontId="0" fillId="0" borderId="0" xfId="0" applyNumberFormat="1" applyFont="1" applyAlignment="1"/>
    <xf numFmtId="49" fontId="1" fillId="2" borderId="1" xfId="0" applyNumberFormat="1" applyFont="1" applyFill="1" applyBorder="1" applyAlignment="1">
      <alignment horizontal="center" vertical="center"/>
    </xf>
    <xf numFmtId="49" fontId="0" fillId="0" borderId="0" xfId="0" applyNumberFormat="1" applyFont="1" applyAlignment="1">
      <alignment horizontal="center"/>
    </xf>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30</xdr:row>
      <xdr:rowOff>177800</xdr:rowOff>
    </xdr:from>
    <xdr:to>
      <xdr:col>5</xdr:col>
      <xdr:colOff>50800</xdr:colOff>
      <xdr:row>34</xdr:row>
      <xdr:rowOff>25400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25400</xdr:colOff>
      <xdr:row>30</xdr:row>
      <xdr:rowOff>177800</xdr:rowOff>
    </xdr:from>
    <xdr:to>
      <xdr:col>5</xdr:col>
      <xdr:colOff>50800</xdr:colOff>
      <xdr:row>34</xdr:row>
      <xdr:rowOff>25400</xdr:rowOff>
    </xdr:to>
    <xdr:pic>
      <xdr:nvPicPr>
        <xdr:cNvPr id="2" name="CommandButton1">
          <a:extLst>
            <a:ext uri="{FF2B5EF4-FFF2-40B4-BE49-F238E27FC236}">
              <a16:creationId xmlns:a16="http://schemas.microsoft.com/office/drawing/2014/main" id="{62ACD9D4-AD19-1440-8E9B-A8463A403A1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58300" y="11125200"/>
          <a:ext cx="2959100" cy="609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CJ100"/>
  <sheetViews>
    <sheetView workbookViewId="0">
      <pane ySplit="1" topLeftCell="A2" activePane="bottomLeft" state="frozen"/>
      <selection pane="bottomLeft" activeCell="J40" sqref="J40"/>
    </sheetView>
  </sheetViews>
  <sheetFormatPr baseColWidth="10" defaultColWidth="14.5" defaultRowHeight="15" customHeight="1" x14ac:dyDescent="0.2"/>
  <cols>
    <col min="1" max="1" width="10.6640625" style="1" customWidth="1"/>
    <col min="2" max="2" width="15.6640625" style="1" bestFit="1" customWidth="1"/>
    <col min="3" max="3" width="60" style="1" bestFit="1" customWidth="1"/>
    <col min="4" max="4" width="34.83203125" style="1" bestFit="1" customWidth="1"/>
    <col min="5" max="5" width="38.5" style="1" bestFit="1" customWidth="1"/>
    <col min="6" max="20" width="10.6640625" style="1" customWidth="1"/>
    <col min="21" max="21" width="17" style="1" customWidth="1"/>
    <col min="22" max="45" width="10.6640625" style="1" customWidth="1"/>
    <col min="46" max="46" width="19.5" style="1" customWidth="1"/>
    <col min="47" max="68" width="10.6640625" style="1" customWidth="1"/>
    <col min="69" max="16384" width="14.5" style="1"/>
  </cols>
  <sheetData>
    <row r="1" spans="1:88" s="4" customFormat="1" ht="32" x14ac:dyDescent="0.2">
      <c r="A1" s="5" t="s">
        <v>0</v>
      </c>
      <c r="B1" s="5" t="s">
        <v>1</v>
      </c>
      <c r="C1" s="5" t="s">
        <v>2</v>
      </c>
      <c r="D1" s="5" t="s">
        <v>3</v>
      </c>
      <c r="E1" s="5" t="s">
        <v>4</v>
      </c>
      <c r="F1" s="5" t="s">
        <v>5</v>
      </c>
      <c r="G1" s="5" t="s">
        <v>6</v>
      </c>
      <c r="H1" s="5" t="s">
        <v>7</v>
      </c>
      <c r="I1" s="6" t="s">
        <v>8</v>
      </c>
      <c r="J1" s="6" t="s">
        <v>9</v>
      </c>
      <c r="K1" s="6"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c r="AN1" s="6" t="s">
        <v>39</v>
      </c>
      <c r="AO1" s="6" t="s">
        <v>40</v>
      </c>
      <c r="AP1" s="6" t="s">
        <v>41</v>
      </c>
      <c r="AQ1" s="6" t="s">
        <v>42</v>
      </c>
      <c r="AR1" s="6" t="s">
        <v>43</v>
      </c>
      <c r="AS1" s="6" t="s">
        <v>44</v>
      </c>
      <c r="AT1" s="6" t="s">
        <v>45</v>
      </c>
      <c r="AU1" s="6" t="s">
        <v>46</v>
      </c>
      <c r="AV1" s="6" t="s">
        <v>47</v>
      </c>
      <c r="AW1" s="6" t="s">
        <v>48</v>
      </c>
      <c r="AX1" s="6" t="s">
        <v>49</v>
      </c>
      <c r="AY1" s="6" t="s">
        <v>50</v>
      </c>
      <c r="AZ1" s="6" t="s">
        <v>51</v>
      </c>
      <c r="BA1" s="6" t="s">
        <v>52</v>
      </c>
      <c r="BB1" s="6" t="s">
        <v>53</v>
      </c>
      <c r="BC1" s="6" t="s">
        <v>54</v>
      </c>
      <c r="BD1" s="6" t="s">
        <v>55</v>
      </c>
      <c r="BE1" s="6" t="s">
        <v>56</v>
      </c>
      <c r="BF1" s="6" t="s">
        <v>57</v>
      </c>
      <c r="BG1" s="6" t="s">
        <v>58</v>
      </c>
      <c r="BH1" s="6" t="s">
        <v>59</v>
      </c>
      <c r="BI1" s="6" t="s">
        <v>60</v>
      </c>
      <c r="BJ1" s="6" t="s">
        <v>61</v>
      </c>
      <c r="BK1" s="6" t="s">
        <v>62</v>
      </c>
      <c r="BL1" s="6" t="s">
        <v>63</v>
      </c>
      <c r="BM1" s="6" t="s">
        <v>64</v>
      </c>
      <c r="BN1" s="6" t="s">
        <v>65</v>
      </c>
      <c r="BO1" s="6" t="s">
        <v>66</v>
      </c>
      <c r="BP1" s="6" t="s">
        <v>67</v>
      </c>
    </row>
    <row r="2" spans="1:88" x14ac:dyDescent="0.2">
      <c r="A2" s="1">
        <v>203023</v>
      </c>
      <c r="B2" s="2">
        <v>44426</v>
      </c>
      <c r="C2" s="15" t="s">
        <v>137</v>
      </c>
      <c r="D2" s="15" t="s">
        <v>138</v>
      </c>
      <c r="E2" s="15" t="s">
        <v>155</v>
      </c>
      <c r="F2" s="15" t="s">
        <v>75</v>
      </c>
      <c r="G2" s="15" t="s">
        <v>156</v>
      </c>
      <c r="H2" s="15" t="s">
        <v>136</v>
      </c>
      <c r="I2" s="15" t="s">
        <v>109</v>
      </c>
      <c r="J2" s="15" t="s">
        <v>157</v>
      </c>
      <c r="K2" s="15" t="s">
        <v>136</v>
      </c>
      <c r="L2" s="15" t="s">
        <v>99</v>
      </c>
      <c r="M2" s="15" t="s">
        <v>158</v>
      </c>
      <c r="N2" s="15" t="s">
        <v>136</v>
      </c>
      <c r="O2" s="15" t="s">
        <v>86</v>
      </c>
      <c r="P2" s="15" t="s">
        <v>159</v>
      </c>
      <c r="Q2" s="15" t="s">
        <v>136</v>
      </c>
      <c r="R2" s="15" t="s">
        <v>90</v>
      </c>
      <c r="S2" s="15" t="s">
        <v>160</v>
      </c>
      <c r="T2" s="15" t="s">
        <v>136</v>
      </c>
      <c r="U2" s="15" t="s">
        <v>70</v>
      </c>
      <c r="V2" s="15" t="s">
        <v>161</v>
      </c>
      <c r="W2" s="15" t="s">
        <v>136</v>
      </c>
      <c r="X2" s="15" t="s">
        <v>80</v>
      </c>
      <c r="Y2" s="15" t="s">
        <v>162</v>
      </c>
      <c r="Z2" s="15" t="s">
        <v>136</v>
      </c>
      <c r="AA2" s="15" t="s">
        <v>88</v>
      </c>
      <c r="AB2" s="15" t="s">
        <v>163</v>
      </c>
      <c r="AC2" s="15" t="s">
        <v>136</v>
      </c>
      <c r="AD2" s="15" t="s">
        <v>93</v>
      </c>
      <c r="AE2" s="15" t="s">
        <v>164</v>
      </c>
      <c r="AF2" s="15" t="s">
        <v>136</v>
      </c>
      <c r="AG2" s="15" t="s">
        <v>69</v>
      </c>
      <c r="AH2" s="15" t="s">
        <v>165</v>
      </c>
      <c r="AI2" s="15" t="s">
        <v>136</v>
      </c>
      <c r="AJ2" s="15" t="s">
        <v>87</v>
      </c>
      <c r="AK2" s="15" t="s">
        <v>166</v>
      </c>
      <c r="AL2" s="15" t="s">
        <v>136</v>
      </c>
      <c r="AM2" s="15" t="s">
        <v>110</v>
      </c>
      <c r="AN2" s="15" t="s">
        <v>167</v>
      </c>
      <c r="AO2" s="15" t="s">
        <v>136</v>
      </c>
      <c r="AP2" s="15" t="s">
        <v>84</v>
      </c>
      <c r="AQ2" s="15" t="s">
        <v>168</v>
      </c>
      <c r="AR2" s="15" t="s">
        <v>136</v>
      </c>
      <c r="AS2" s="15" t="s">
        <v>72</v>
      </c>
      <c r="AT2" s="15" t="s">
        <v>169</v>
      </c>
      <c r="AU2" s="15" t="s">
        <v>136</v>
      </c>
      <c r="AV2" s="15" t="s">
        <v>111</v>
      </c>
      <c r="AW2" s="15" t="s">
        <v>170</v>
      </c>
      <c r="AX2" s="15" t="s">
        <v>136</v>
      </c>
      <c r="AY2" s="15" t="s">
        <v>100</v>
      </c>
      <c r="AZ2" s="15" t="s">
        <v>171</v>
      </c>
      <c r="BA2" s="15" t="s">
        <v>136</v>
      </c>
      <c r="BB2" s="15" t="s">
        <v>102</v>
      </c>
      <c r="BC2" s="15" t="s">
        <v>172</v>
      </c>
      <c r="BD2" s="15" t="s">
        <v>136</v>
      </c>
      <c r="BE2" s="15" t="s">
        <v>95</v>
      </c>
      <c r="BF2" s="15" t="s">
        <v>173</v>
      </c>
      <c r="BG2" s="15" t="s">
        <v>136</v>
      </c>
      <c r="BH2" s="15" t="s">
        <v>101</v>
      </c>
      <c r="BI2" s="15" t="s">
        <v>174</v>
      </c>
      <c r="BJ2" s="15" t="s">
        <v>136</v>
      </c>
      <c r="BK2" s="15" t="s">
        <v>112</v>
      </c>
      <c r="BL2" s="15" t="s">
        <v>175</v>
      </c>
      <c r="BM2" s="15" t="s">
        <v>136</v>
      </c>
      <c r="BN2" s="15" t="s">
        <v>71</v>
      </c>
      <c r="BO2" s="15" t="s">
        <v>176</v>
      </c>
      <c r="BP2" s="15" t="s">
        <v>136</v>
      </c>
      <c r="BQ2" s="15" t="s">
        <v>170</v>
      </c>
      <c r="BR2" s="15" t="s">
        <v>136</v>
      </c>
      <c r="BS2" s="15" t="s">
        <v>100</v>
      </c>
      <c r="BT2" s="15" t="s">
        <v>171</v>
      </c>
      <c r="BU2" s="15" t="s">
        <v>136</v>
      </c>
      <c r="BV2" s="15" t="s">
        <v>102</v>
      </c>
      <c r="BW2" s="15" t="s">
        <v>172</v>
      </c>
      <c r="BX2" s="15" t="s">
        <v>136</v>
      </c>
      <c r="BY2" s="15" t="s">
        <v>95</v>
      </c>
      <c r="BZ2" s="15" t="s">
        <v>173</v>
      </c>
      <c r="CA2" s="15" t="s">
        <v>136</v>
      </c>
      <c r="CB2" s="15" t="s">
        <v>101</v>
      </c>
      <c r="CC2" s="15" t="s">
        <v>174</v>
      </c>
      <c r="CD2" s="15" t="s">
        <v>136</v>
      </c>
      <c r="CE2" s="15" t="s">
        <v>112</v>
      </c>
      <c r="CF2" s="15" t="s">
        <v>175</v>
      </c>
      <c r="CG2" s="15" t="s">
        <v>136</v>
      </c>
      <c r="CH2" s="15" t="s">
        <v>71</v>
      </c>
      <c r="CI2" s="15" t="s">
        <v>176</v>
      </c>
      <c r="CJ2" s="15" t="s">
        <v>136</v>
      </c>
    </row>
    <row r="3" spans="1:88" s="3" customFormat="1" x14ac:dyDescent="0.2">
      <c r="A3" s="1">
        <v>203023</v>
      </c>
      <c r="B3" s="2">
        <v>44426</v>
      </c>
      <c r="C3" s="15" t="s">
        <v>68</v>
      </c>
      <c r="D3" s="15" t="s">
        <v>177</v>
      </c>
      <c r="E3" s="15" t="s">
        <v>178</v>
      </c>
      <c r="F3" s="15" t="s">
        <v>80</v>
      </c>
      <c r="G3" s="15" t="s">
        <v>179</v>
      </c>
      <c r="H3" s="15" t="s">
        <v>180</v>
      </c>
      <c r="I3" s="15" t="s">
        <v>69</v>
      </c>
      <c r="J3" s="15" t="s">
        <v>181</v>
      </c>
      <c r="K3" s="15" t="s">
        <v>182</v>
      </c>
      <c r="L3" s="15" t="s">
        <v>69</v>
      </c>
      <c r="M3" s="15" t="s">
        <v>183</v>
      </c>
      <c r="N3" s="15" t="s">
        <v>184</v>
      </c>
      <c r="O3" s="15" t="s">
        <v>112</v>
      </c>
      <c r="P3" s="15" t="s">
        <v>185</v>
      </c>
      <c r="Q3" s="15" t="s">
        <v>186</v>
      </c>
      <c r="R3" s="15" t="s">
        <v>69</v>
      </c>
      <c r="S3" s="15" t="s">
        <v>187</v>
      </c>
      <c r="T3" s="15" t="s">
        <v>188</v>
      </c>
      <c r="U3" s="15" t="s">
        <v>69</v>
      </c>
      <c r="V3" s="15" t="s">
        <v>189</v>
      </c>
      <c r="W3" s="15" t="s">
        <v>190</v>
      </c>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row>
    <row r="4" spans="1:88" x14ac:dyDescent="0.2">
      <c r="A4" s="1">
        <v>203023</v>
      </c>
      <c r="B4" s="2">
        <v>44426</v>
      </c>
      <c r="C4" s="15" t="s">
        <v>77</v>
      </c>
      <c r="D4" s="15" t="s">
        <v>78</v>
      </c>
      <c r="E4" s="15" t="s">
        <v>79</v>
      </c>
      <c r="F4" s="15" t="s">
        <v>112</v>
      </c>
      <c r="G4" s="15" t="s">
        <v>191</v>
      </c>
      <c r="H4" s="15" t="s">
        <v>192</v>
      </c>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row>
    <row r="5" spans="1:88" x14ac:dyDescent="0.2">
      <c r="A5" s="1">
        <v>203023</v>
      </c>
      <c r="B5" s="2">
        <v>44426</v>
      </c>
      <c r="C5" s="15" t="s">
        <v>142</v>
      </c>
      <c r="D5" s="15" t="s">
        <v>193</v>
      </c>
      <c r="E5" s="15" t="s">
        <v>194</v>
      </c>
      <c r="F5" s="15" t="s">
        <v>75</v>
      </c>
      <c r="G5" s="15" t="s">
        <v>195</v>
      </c>
      <c r="H5" s="15" t="s">
        <v>76</v>
      </c>
      <c r="I5" s="15" t="s">
        <v>109</v>
      </c>
      <c r="J5" s="15" t="s">
        <v>196</v>
      </c>
      <c r="K5" s="15" t="s">
        <v>76</v>
      </c>
      <c r="L5" s="15" t="s">
        <v>99</v>
      </c>
      <c r="M5" s="15" t="s">
        <v>197</v>
      </c>
      <c r="N5" s="15" t="s">
        <v>76</v>
      </c>
      <c r="O5" s="15" t="s">
        <v>86</v>
      </c>
      <c r="P5" s="15" t="s">
        <v>198</v>
      </c>
      <c r="Q5" s="15" t="s">
        <v>76</v>
      </c>
      <c r="R5" s="15" t="s">
        <v>90</v>
      </c>
      <c r="S5" s="15" t="s">
        <v>199</v>
      </c>
      <c r="T5" s="15" t="s">
        <v>76</v>
      </c>
      <c r="U5" s="15" t="s">
        <v>70</v>
      </c>
      <c r="V5" s="15" t="s">
        <v>200</v>
      </c>
      <c r="W5" s="15" t="s">
        <v>76</v>
      </c>
      <c r="X5" s="15" t="s">
        <v>80</v>
      </c>
      <c r="Y5" s="15" t="s">
        <v>201</v>
      </c>
      <c r="Z5" s="15" t="s">
        <v>76</v>
      </c>
      <c r="AA5" s="15" t="s">
        <v>88</v>
      </c>
      <c r="AB5" s="15" t="s">
        <v>202</v>
      </c>
      <c r="AC5" s="15" t="s">
        <v>76</v>
      </c>
      <c r="AD5" s="15" t="s">
        <v>93</v>
      </c>
      <c r="AE5" s="15" t="s">
        <v>203</v>
      </c>
      <c r="AF5" s="15" t="s">
        <v>76</v>
      </c>
      <c r="AG5" s="15" t="s">
        <v>69</v>
      </c>
      <c r="AH5" s="15" t="s">
        <v>204</v>
      </c>
      <c r="AI5" s="15" t="s">
        <v>76</v>
      </c>
      <c r="AJ5" s="15" t="s">
        <v>87</v>
      </c>
      <c r="AK5" s="15" t="s">
        <v>205</v>
      </c>
      <c r="AL5" s="15" t="s">
        <v>76</v>
      </c>
      <c r="AM5" s="15" t="s">
        <v>72</v>
      </c>
      <c r="AN5" s="15" t="s">
        <v>206</v>
      </c>
      <c r="AO5" s="15" t="s">
        <v>76</v>
      </c>
      <c r="AP5" s="15" t="s">
        <v>111</v>
      </c>
      <c r="AQ5" s="15" t="s">
        <v>207</v>
      </c>
      <c r="AR5" s="15" t="s">
        <v>76</v>
      </c>
      <c r="AS5" s="15" t="s">
        <v>100</v>
      </c>
      <c r="AT5" s="15" t="s">
        <v>208</v>
      </c>
      <c r="AU5" s="15" t="s">
        <v>76</v>
      </c>
      <c r="AV5" s="15" t="s">
        <v>102</v>
      </c>
      <c r="AW5" s="15" t="s">
        <v>209</v>
      </c>
      <c r="AX5" s="15" t="s">
        <v>76</v>
      </c>
      <c r="AY5" s="15" t="s">
        <v>101</v>
      </c>
      <c r="AZ5" s="15" t="s">
        <v>210</v>
      </c>
      <c r="BA5" s="15" t="s">
        <v>76</v>
      </c>
      <c r="BB5" s="15" t="s">
        <v>112</v>
      </c>
      <c r="BC5" s="15" t="s">
        <v>211</v>
      </c>
      <c r="BD5" s="15" t="s">
        <v>76</v>
      </c>
      <c r="BE5" s="15" t="s">
        <v>71</v>
      </c>
      <c r="BF5" s="15" t="s">
        <v>212</v>
      </c>
      <c r="BG5" s="15" t="s">
        <v>76</v>
      </c>
      <c r="BH5" s="15"/>
      <c r="BI5" s="15"/>
      <c r="BJ5" s="15"/>
      <c r="BK5" s="15"/>
      <c r="BL5" s="15"/>
      <c r="BM5" s="15"/>
      <c r="BN5" s="15"/>
      <c r="BO5" s="15"/>
      <c r="BP5" s="15"/>
      <c r="BQ5" s="15" t="s">
        <v>209</v>
      </c>
      <c r="BR5" s="15" t="s">
        <v>76</v>
      </c>
      <c r="BS5" s="15" t="s">
        <v>101</v>
      </c>
      <c r="BT5" s="15" t="s">
        <v>210</v>
      </c>
      <c r="BU5" s="15" t="s">
        <v>76</v>
      </c>
      <c r="BV5" s="15" t="s">
        <v>112</v>
      </c>
      <c r="BW5" s="15" t="s">
        <v>211</v>
      </c>
      <c r="BX5" s="15" t="s">
        <v>76</v>
      </c>
      <c r="BY5" s="15" t="s">
        <v>71</v>
      </c>
      <c r="BZ5" s="15" t="s">
        <v>212</v>
      </c>
      <c r="CA5" s="15" t="s">
        <v>76</v>
      </c>
      <c r="CB5" s="15"/>
      <c r="CC5" s="15"/>
      <c r="CD5" s="15"/>
      <c r="CE5" s="15"/>
      <c r="CF5" s="15"/>
      <c r="CG5" s="15"/>
      <c r="CH5" s="15"/>
      <c r="CI5" s="15"/>
      <c r="CJ5" s="15"/>
    </row>
    <row r="6" spans="1:88" x14ac:dyDescent="0.2">
      <c r="A6" s="1">
        <v>203023</v>
      </c>
      <c r="B6" s="2">
        <v>44426</v>
      </c>
      <c r="C6" s="15" t="s">
        <v>81</v>
      </c>
      <c r="D6" s="15" t="s">
        <v>82</v>
      </c>
      <c r="E6" s="15" t="s">
        <v>83</v>
      </c>
      <c r="F6" s="15" t="s">
        <v>75</v>
      </c>
      <c r="G6" s="15" t="s">
        <v>213</v>
      </c>
      <c r="H6" s="15" t="s">
        <v>85</v>
      </c>
      <c r="I6" s="15" t="s">
        <v>100</v>
      </c>
      <c r="J6" s="15" t="s">
        <v>214</v>
      </c>
      <c r="K6" s="15" t="s">
        <v>85</v>
      </c>
      <c r="L6" s="15" t="s">
        <v>112</v>
      </c>
      <c r="M6" s="15" t="s">
        <v>215</v>
      </c>
      <c r="N6" s="15" t="s">
        <v>89</v>
      </c>
      <c r="O6" s="15" t="s">
        <v>86</v>
      </c>
      <c r="P6" s="15" t="s">
        <v>216</v>
      </c>
      <c r="Q6" s="15" t="s">
        <v>89</v>
      </c>
      <c r="R6" s="15" t="s">
        <v>72</v>
      </c>
      <c r="S6" s="15" t="s">
        <v>217</v>
      </c>
      <c r="T6" s="15" t="s">
        <v>85</v>
      </c>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row>
    <row r="7" spans="1:88" x14ac:dyDescent="0.2">
      <c r="A7" s="1">
        <v>203023</v>
      </c>
      <c r="B7" s="2">
        <v>44426</v>
      </c>
      <c r="C7" s="15" t="s">
        <v>124</v>
      </c>
      <c r="D7" s="15" t="s">
        <v>125</v>
      </c>
      <c r="E7" s="15" t="s">
        <v>218</v>
      </c>
      <c r="F7" s="15" t="s">
        <v>84</v>
      </c>
      <c r="G7" s="15" t="s">
        <v>219</v>
      </c>
      <c r="H7" s="15" t="s">
        <v>220</v>
      </c>
      <c r="I7" s="15" t="s">
        <v>102</v>
      </c>
      <c r="J7" s="15" t="s">
        <v>221</v>
      </c>
      <c r="K7" s="15" t="s">
        <v>222</v>
      </c>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row>
    <row r="8" spans="1:88" x14ac:dyDescent="0.2">
      <c r="A8" s="1">
        <v>203023</v>
      </c>
      <c r="B8" s="2">
        <v>44426</v>
      </c>
      <c r="C8" s="15" t="s">
        <v>91</v>
      </c>
      <c r="D8" s="15" t="s">
        <v>92</v>
      </c>
      <c r="E8" s="15" t="s">
        <v>83</v>
      </c>
      <c r="F8" s="15" t="s">
        <v>75</v>
      </c>
      <c r="G8" s="15" t="s">
        <v>223</v>
      </c>
      <c r="H8" s="15" t="s">
        <v>224</v>
      </c>
      <c r="I8" s="15" t="s">
        <v>90</v>
      </c>
      <c r="J8" s="15" t="s">
        <v>223</v>
      </c>
      <c r="K8" s="15" t="s">
        <v>225</v>
      </c>
      <c r="L8" s="15" t="s">
        <v>80</v>
      </c>
      <c r="M8" s="15" t="s">
        <v>223</v>
      </c>
      <c r="N8" s="15" t="s">
        <v>226</v>
      </c>
      <c r="O8" s="15" t="s">
        <v>88</v>
      </c>
      <c r="P8" s="15" t="s">
        <v>227</v>
      </c>
      <c r="Q8" s="15" t="s">
        <v>228</v>
      </c>
      <c r="R8" s="15" t="s">
        <v>95</v>
      </c>
      <c r="S8" s="15" t="s">
        <v>223</v>
      </c>
      <c r="T8" s="15" t="s">
        <v>94</v>
      </c>
      <c r="U8" s="15" t="s">
        <v>112</v>
      </c>
      <c r="V8" s="15" t="s">
        <v>223</v>
      </c>
      <c r="W8" s="15" t="s">
        <v>229</v>
      </c>
      <c r="X8" s="15" t="s">
        <v>71</v>
      </c>
      <c r="Y8" s="15" t="s">
        <v>223</v>
      </c>
      <c r="Z8" s="15" t="s">
        <v>230</v>
      </c>
      <c r="AA8" s="15" t="s">
        <v>100</v>
      </c>
      <c r="AB8" s="15" t="s">
        <v>231</v>
      </c>
      <c r="AC8" s="15"/>
      <c r="AD8" s="15"/>
      <c r="AE8" s="15"/>
      <c r="AF8" s="15"/>
      <c r="AG8" s="15"/>
      <c r="AH8" s="15"/>
      <c r="AI8" s="15"/>
      <c r="AJ8" s="15"/>
      <c r="AK8" s="15"/>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row>
    <row r="9" spans="1:88" x14ac:dyDescent="0.2">
      <c r="A9" s="1">
        <v>203023</v>
      </c>
      <c r="B9" s="2">
        <v>44426</v>
      </c>
      <c r="C9" s="15" t="s">
        <v>107</v>
      </c>
      <c r="D9" s="15" t="s">
        <v>108</v>
      </c>
      <c r="E9" s="15" t="s">
        <v>232</v>
      </c>
      <c r="F9" s="15" t="s">
        <v>75</v>
      </c>
      <c r="G9" s="15" t="s">
        <v>233</v>
      </c>
      <c r="H9" s="15" t="s">
        <v>234</v>
      </c>
      <c r="I9" s="15" t="s">
        <v>109</v>
      </c>
      <c r="J9" s="15" t="s">
        <v>235</v>
      </c>
      <c r="K9" s="15" t="s">
        <v>236</v>
      </c>
      <c r="L9" s="15" t="s">
        <v>99</v>
      </c>
      <c r="M9" s="15" t="s">
        <v>237</v>
      </c>
      <c r="N9" s="15" t="s">
        <v>238</v>
      </c>
      <c r="O9" s="15" t="s">
        <v>86</v>
      </c>
      <c r="P9" s="15" t="s">
        <v>239</v>
      </c>
      <c r="Q9" s="15" t="s">
        <v>240</v>
      </c>
      <c r="R9" s="15" t="s">
        <v>90</v>
      </c>
      <c r="S9" s="15" t="s">
        <v>241</v>
      </c>
      <c r="T9" s="15" t="s">
        <v>242</v>
      </c>
      <c r="U9" s="15" t="s">
        <v>70</v>
      </c>
      <c r="V9" s="15" t="s">
        <v>243</v>
      </c>
      <c r="W9" s="15" t="s">
        <v>244</v>
      </c>
      <c r="X9" s="15" t="s">
        <v>80</v>
      </c>
      <c r="Y9" s="15" t="s">
        <v>245</v>
      </c>
      <c r="Z9" s="15"/>
      <c r="AA9" s="15" t="s">
        <v>88</v>
      </c>
      <c r="AB9" s="15" t="s">
        <v>246</v>
      </c>
      <c r="AC9" s="15" t="s">
        <v>247</v>
      </c>
      <c r="AD9" s="15" t="s">
        <v>69</v>
      </c>
      <c r="AE9" s="15" t="s">
        <v>248</v>
      </c>
      <c r="AF9" s="15" t="s">
        <v>249</v>
      </c>
      <c r="AG9" s="15" t="s">
        <v>87</v>
      </c>
      <c r="AH9" s="15" t="s">
        <v>250</v>
      </c>
      <c r="AI9" s="15" t="s">
        <v>251</v>
      </c>
      <c r="AJ9" s="15" t="s">
        <v>110</v>
      </c>
      <c r="AK9" s="15" t="s">
        <v>252</v>
      </c>
      <c r="AL9" s="15" t="s">
        <v>253</v>
      </c>
      <c r="AM9" s="15" t="s">
        <v>84</v>
      </c>
      <c r="AN9" s="15" t="s">
        <v>254</v>
      </c>
      <c r="AO9" s="15" t="s">
        <v>255</v>
      </c>
      <c r="AP9" s="15" t="s">
        <v>72</v>
      </c>
      <c r="AQ9" s="15" t="s">
        <v>256</v>
      </c>
      <c r="AR9" s="15" t="s">
        <v>257</v>
      </c>
      <c r="AS9" s="15" t="s">
        <v>111</v>
      </c>
      <c r="AT9" s="15" t="s">
        <v>258</v>
      </c>
      <c r="AU9" s="15"/>
      <c r="AV9" s="15" t="s">
        <v>100</v>
      </c>
      <c r="AW9" s="15" t="s">
        <v>259</v>
      </c>
      <c r="AX9" s="15"/>
      <c r="AY9" s="15" t="s">
        <v>102</v>
      </c>
      <c r="AZ9" s="15" t="s">
        <v>260</v>
      </c>
      <c r="BA9" s="15" t="s">
        <v>261</v>
      </c>
      <c r="BB9" s="15" t="s">
        <v>95</v>
      </c>
      <c r="BC9" s="15" t="s">
        <v>262</v>
      </c>
      <c r="BD9" s="15" t="s">
        <v>263</v>
      </c>
      <c r="BE9" s="15" t="s">
        <v>101</v>
      </c>
      <c r="BF9" s="15" t="s">
        <v>264</v>
      </c>
      <c r="BG9" s="15"/>
      <c r="BH9" s="15" t="s">
        <v>112</v>
      </c>
      <c r="BI9" s="15" t="s">
        <v>265</v>
      </c>
      <c r="BJ9" s="15" t="s">
        <v>266</v>
      </c>
      <c r="BK9" s="15" t="s">
        <v>71</v>
      </c>
      <c r="BL9" s="15" t="s">
        <v>267</v>
      </c>
      <c r="BM9" s="15" t="s">
        <v>268</v>
      </c>
      <c r="BN9" s="15"/>
      <c r="BO9" s="15"/>
      <c r="BP9" s="15"/>
      <c r="BQ9" s="15" t="s">
        <v>259</v>
      </c>
      <c r="BR9" s="15"/>
      <c r="BS9" s="15" t="s">
        <v>102</v>
      </c>
      <c r="BT9" s="15" t="s">
        <v>260</v>
      </c>
      <c r="BU9" s="15" t="s">
        <v>261</v>
      </c>
      <c r="BV9" s="15" t="s">
        <v>95</v>
      </c>
      <c r="BW9" s="15" t="s">
        <v>262</v>
      </c>
      <c r="BX9" s="15" t="s">
        <v>263</v>
      </c>
      <c r="BY9" s="15" t="s">
        <v>101</v>
      </c>
      <c r="BZ9" s="15" t="s">
        <v>264</v>
      </c>
      <c r="CA9" s="15"/>
      <c r="CB9" s="15" t="s">
        <v>112</v>
      </c>
      <c r="CC9" s="15" t="s">
        <v>265</v>
      </c>
      <c r="CD9" s="15" t="s">
        <v>266</v>
      </c>
      <c r="CE9" s="15" t="s">
        <v>71</v>
      </c>
      <c r="CF9" s="15" t="s">
        <v>267</v>
      </c>
      <c r="CG9" s="15" t="s">
        <v>268</v>
      </c>
      <c r="CH9" s="15"/>
      <c r="CI9" s="15"/>
      <c r="CJ9" s="15"/>
    </row>
    <row r="10" spans="1:88" x14ac:dyDescent="0.2">
      <c r="A10" s="1">
        <v>203023</v>
      </c>
      <c r="B10" s="2">
        <v>44426</v>
      </c>
      <c r="C10" s="15" t="s">
        <v>118</v>
      </c>
      <c r="D10" s="15" t="s">
        <v>119</v>
      </c>
      <c r="E10" s="15" t="s">
        <v>120</v>
      </c>
      <c r="F10" s="15" t="s">
        <v>75</v>
      </c>
      <c r="G10" s="15" t="s">
        <v>76</v>
      </c>
      <c r="H10" s="15" t="s">
        <v>76</v>
      </c>
      <c r="I10" s="15"/>
      <c r="J10" s="15" t="s">
        <v>76</v>
      </c>
      <c r="K10" s="15" t="s">
        <v>76</v>
      </c>
      <c r="L10" s="15"/>
      <c r="M10" s="15" t="s">
        <v>76</v>
      </c>
      <c r="N10" s="15" t="s">
        <v>76</v>
      </c>
      <c r="O10" s="15"/>
      <c r="P10" s="15" t="s">
        <v>76</v>
      </c>
      <c r="Q10" s="15" t="s">
        <v>76</v>
      </c>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row>
    <row r="11" spans="1:88" x14ac:dyDescent="0.2">
      <c r="A11" s="1">
        <v>203023</v>
      </c>
      <c r="B11" s="2">
        <v>44426</v>
      </c>
      <c r="C11" s="15" t="s">
        <v>104</v>
      </c>
      <c r="D11" s="15" t="s">
        <v>105</v>
      </c>
      <c r="E11" s="15" t="s">
        <v>83</v>
      </c>
      <c r="F11" s="15" t="s">
        <v>75</v>
      </c>
      <c r="G11" s="15" t="s">
        <v>106</v>
      </c>
      <c r="H11" s="15" t="s">
        <v>106</v>
      </c>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row>
    <row r="12" spans="1:88" x14ac:dyDescent="0.2">
      <c r="A12" s="1">
        <v>203023</v>
      </c>
      <c r="B12" s="2">
        <v>44426</v>
      </c>
      <c r="C12" s="15" t="s">
        <v>96</v>
      </c>
      <c r="D12" s="15" t="s">
        <v>97</v>
      </c>
      <c r="E12" s="15" t="s">
        <v>98</v>
      </c>
      <c r="F12" s="15" t="s">
        <v>86</v>
      </c>
      <c r="G12" s="15" t="s">
        <v>281</v>
      </c>
      <c r="H12" s="15" t="s">
        <v>282</v>
      </c>
      <c r="I12" s="15" t="s">
        <v>90</v>
      </c>
      <c r="J12" s="15" t="s">
        <v>281</v>
      </c>
      <c r="K12" s="15" t="s">
        <v>283</v>
      </c>
      <c r="L12" s="15" t="s">
        <v>69</v>
      </c>
      <c r="M12" s="15" t="s">
        <v>281</v>
      </c>
      <c r="N12" s="15" t="s">
        <v>284</v>
      </c>
      <c r="O12" s="15" t="s">
        <v>100</v>
      </c>
      <c r="P12" s="15" t="s">
        <v>285</v>
      </c>
      <c r="Q12" s="15"/>
      <c r="R12" s="15" t="s">
        <v>100</v>
      </c>
      <c r="S12" s="15" t="s">
        <v>286</v>
      </c>
      <c r="T12" s="15"/>
      <c r="U12" s="15" t="s">
        <v>75</v>
      </c>
      <c r="V12" s="15" t="s">
        <v>287</v>
      </c>
      <c r="W12" s="15" t="s">
        <v>288</v>
      </c>
      <c r="X12" s="15" t="s">
        <v>90</v>
      </c>
      <c r="Y12" s="15" t="s">
        <v>289</v>
      </c>
      <c r="Z12" s="15" t="s">
        <v>290</v>
      </c>
      <c r="AA12" s="15" t="s">
        <v>80</v>
      </c>
      <c r="AB12" s="15" t="s">
        <v>291</v>
      </c>
      <c r="AC12" s="15" t="s">
        <v>292</v>
      </c>
      <c r="AD12" s="15" t="s">
        <v>93</v>
      </c>
      <c r="AE12" s="15" t="s">
        <v>293</v>
      </c>
      <c r="AF12" s="15" t="s">
        <v>294</v>
      </c>
      <c r="AG12" s="15" t="s">
        <v>69</v>
      </c>
      <c r="AH12" s="15" t="s">
        <v>295</v>
      </c>
      <c r="AI12" s="15" t="s">
        <v>296</v>
      </c>
      <c r="AJ12" s="15" t="s">
        <v>87</v>
      </c>
      <c r="AK12" s="15" t="s">
        <v>297</v>
      </c>
      <c r="AL12" s="15" t="s">
        <v>298</v>
      </c>
      <c r="AM12" s="15" t="s">
        <v>101</v>
      </c>
      <c r="AN12" s="15" t="s">
        <v>293</v>
      </c>
      <c r="AO12" s="15" t="s">
        <v>299</v>
      </c>
      <c r="AP12" s="15" t="s">
        <v>101</v>
      </c>
      <c r="AQ12" s="15" t="s">
        <v>300</v>
      </c>
      <c r="AR12" s="15" t="s">
        <v>301</v>
      </c>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row>
    <row r="13" spans="1:88" x14ac:dyDescent="0.2">
      <c r="A13" s="1">
        <v>203023</v>
      </c>
      <c r="B13" s="2">
        <v>44426</v>
      </c>
      <c r="C13" s="15" t="s">
        <v>73</v>
      </c>
      <c r="D13" s="15" t="s">
        <v>74</v>
      </c>
      <c r="E13" s="15" t="s">
        <v>302</v>
      </c>
      <c r="F13" s="15" t="s">
        <v>75</v>
      </c>
      <c r="G13" s="15" t="s">
        <v>319</v>
      </c>
      <c r="H13" s="15" t="s">
        <v>76</v>
      </c>
      <c r="I13" s="15" t="s">
        <v>75</v>
      </c>
      <c r="J13" s="15" t="s">
        <v>320</v>
      </c>
      <c r="K13" s="15" t="s">
        <v>76</v>
      </c>
      <c r="L13" s="15" t="s">
        <v>75</v>
      </c>
      <c r="M13" s="15" t="s">
        <v>321</v>
      </c>
      <c r="N13" s="15" t="s">
        <v>76</v>
      </c>
      <c r="O13" s="15" t="s">
        <v>75</v>
      </c>
      <c r="P13" s="15" t="s">
        <v>76</v>
      </c>
      <c r="Q13" s="15" t="s">
        <v>76</v>
      </c>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row>
    <row r="14" spans="1:88" x14ac:dyDescent="0.2">
      <c r="A14" s="1">
        <v>203023</v>
      </c>
      <c r="B14" s="2">
        <v>44426</v>
      </c>
      <c r="C14" s="15" t="s">
        <v>122</v>
      </c>
      <c r="D14" s="15" t="s">
        <v>322</v>
      </c>
      <c r="E14" s="15" t="s">
        <v>83</v>
      </c>
      <c r="F14" s="15" t="s">
        <v>69</v>
      </c>
      <c r="G14" s="15" t="s">
        <v>76</v>
      </c>
      <c r="H14" s="15" t="s">
        <v>76</v>
      </c>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row>
    <row r="15" spans="1:88" x14ac:dyDescent="0.2">
      <c r="A15" s="1">
        <v>203023</v>
      </c>
      <c r="B15" s="2">
        <v>44426</v>
      </c>
      <c r="C15" s="15" t="s">
        <v>115</v>
      </c>
      <c r="D15" s="15" t="s">
        <v>116</v>
      </c>
      <c r="E15" s="15" t="s">
        <v>117</v>
      </c>
      <c r="F15" s="15" t="s">
        <v>69</v>
      </c>
      <c r="G15" s="15" t="s">
        <v>352</v>
      </c>
      <c r="H15" s="15" t="s">
        <v>353</v>
      </c>
      <c r="I15" s="15" t="s">
        <v>69</v>
      </c>
      <c r="J15" s="15" t="s">
        <v>354</v>
      </c>
      <c r="K15" s="15" t="s">
        <v>355</v>
      </c>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row>
    <row r="16" spans="1:88" x14ac:dyDescent="0.2">
      <c r="A16" s="1">
        <v>203023</v>
      </c>
      <c r="B16" s="2">
        <v>44426</v>
      </c>
      <c r="C16" s="15" t="s">
        <v>127</v>
      </c>
      <c r="D16" s="15" t="s">
        <v>128</v>
      </c>
      <c r="E16" s="15" t="s">
        <v>129</v>
      </c>
      <c r="F16" s="15" t="s">
        <v>71</v>
      </c>
      <c r="G16" s="15" t="s">
        <v>375</v>
      </c>
      <c r="H16" s="15" t="s">
        <v>376</v>
      </c>
      <c r="I16" s="15" t="s">
        <v>71</v>
      </c>
      <c r="J16" s="15" t="s">
        <v>377</v>
      </c>
      <c r="K16" s="15" t="s">
        <v>378</v>
      </c>
      <c r="L16" s="15" t="s">
        <v>101</v>
      </c>
      <c r="M16" s="15" t="s">
        <v>379</v>
      </c>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row>
    <row r="17" spans="1:88" x14ac:dyDescent="0.2">
      <c r="A17" s="1">
        <v>203023</v>
      </c>
      <c r="B17" s="2">
        <v>44426</v>
      </c>
      <c r="C17" s="15" t="s">
        <v>113</v>
      </c>
      <c r="D17" s="15" t="s">
        <v>114</v>
      </c>
      <c r="E17" s="15" t="s">
        <v>83</v>
      </c>
      <c r="F17" s="15" t="s">
        <v>95</v>
      </c>
      <c r="G17" s="15" t="s">
        <v>393</v>
      </c>
      <c r="H17" s="15" t="s">
        <v>394</v>
      </c>
      <c r="I17" s="15" t="s">
        <v>70</v>
      </c>
      <c r="J17" s="15" t="s">
        <v>395</v>
      </c>
      <c r="K17" s="15" t="s">
        <v>396</v>
      </c>
      <c r="L17" s="15" t="s">
        <v>80</v>
      </c>
      <c r="M17" s="15" t="s">
        <v>397</v>
      </c>
      <c r="N17" s="15" t="s">
        <v>398</v>
      </c>
      <c r="O17" s="15" t="s">
        <v>101</v>
      </c>
      <c r="P17" s="15" t="s">
        <v>399</v>
      </c>
      <c r="Q17" s="15" t="s">
        <v>400</v>
      </c>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row>
    <row r="18" spans="1:88" x14ac:dyDescent="0.2">
      <c r="A18" s="1">
        <v>203023</v>
      </c>
      <c r="B18" s="2">
        <v>44426</v>
      </c>
      <c r="C18" s="15" t="s">
        <v>103</v>
      </c>
      <c r="D18" s="15" t="s">
        <v>401</v>
      </c>
      <c r="E18" s="15" t="s">
        <v>402</v>
      </c>
      <c r="F18" s="15" t="s">
        <v>87</v>
      </c>
      <c r="G18" s="15" t="s">
        <v>76</v>
      </c>
      <c r="H18" s="15" t="s">
        <v>76</v>
      </c>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row>
    <row r="19" spans="1:88" x14ac:dyDescent="0.2">
      <c r="A19" s="1">
        <v>203023</v>
      </c>
      <c r="B19" s="2">
        <v>44426</v>
      </c>
      <c r="C19" s="15" t="s">
        <v>133</v>
      </c>
      <c r="D19" s="15" t="s">
        <v>134</v>
      </c>
      <c r="E19" s="15" t="s">
        <v>135</v>
      </c>
      <c r="F19" s="15" t="s">
        <v>69</v>
      </c>
      <c r="G19" s="15" t="s">
        <v>434</v>
      </c>
      <c r="H19" s="15" t="s">
        <v>136</v>
      </c>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row>
    <row r="20" spans="1:88" x14ac:dyDescent="0.2">
      <c r="A20" s="1">
        <v>203023</v>
      </c>
      <c r="B20" s="2">
        <v>44426</v>
      </c>
      <c r="C20" s="15" t="s">
        <v>139</v>
      </c>
      <c r="D20" s="15" t="s">
        <v>435</v>
      </c>
      <c r="E20" s="15" t="s">
        <v>140</v>
      </c>
      <c r="F20" s="15" t="s">
        <v>71</v>
      </c>
      <c r="G20" s="15" t="s">
        <v>450</v>
      </c>
      <c r="H20" s="15" t="s">
        <v>141</v>
      </c>
      <c r="I20" s="15" t="s">
        <v>100</v>
      </c>
      <c r="J20" s="15" t="s">
        <v>451</v>
      </c>
      <c r="K20" s="15" t="s">
        <v>452</v>
      </c>
      <c r="L20" s="15" t="s">
        <v>72</v>
      </c>
      <c r="M20" s="15" t="s">
        <v>453</v>
      </c>
      <c r="N20" s="15" t="s">
        <v>454</v>
      </c>
      <c r="O20" s="15" t="s">
        <v>75</v>
      </c>
      <c r="P20" s="15" t="s">
        <v>455</v>
      </c>
      <c r="Q20" s="15" t="s">
        <v>141</v>
      </c>
      <c r="R20" s="15" t="s">
        <v>69</v>
      </c>
      <c r="S20" s="15" t="s">
        <v>456</v>
      </c>
      <c r="T20" s="15" t="s">
        <v>141</v>
      </c>
      <c r="U20" s="15" t="s">
        <v>90</v>
      </c>
      <c r="V20" s="15" t="s">
        <v>457</v>
      </c>
      <c r="W20" s="15" t="s">
        <v>141</v>
      </c>
      <c r="X20" s="15" t="s">
        <v>72</v>
      </c>
      <c r="Y20" s="15" t="s">
        <v>458</v>
      </c>
      <c r="Z20" s="15" t="s">
        <v>141</v>
      </c>
      <c r="AA20" s="15" t="s">
        <v>111</v>
      </c>
      <c r="AB20" s="15" t="s">
        <v>459</v>
      </c>
      <c r="AC20" s="15" t="s">
        <v>141</v>
      </c>
      <c r="AD20" s="15" t="s">
        <v>100</v>
      </c>
      <c r="AE20" s="15" t="s">
        <v>460</v>
      </c>
      <c r="AF20" s="15" t="s">
        <v>141</v>
      </c>
      <c r="AG20" s="15" t="s">
        <v>90</v>
      </c>
      <c r="AH20" s="15" t="s">
        <v>461</v>
      </c>
      <c r="AI20" s="15" t="s">
        <v>462</v>
      </c>
      <c r="AJ20" s="15" t="s">
        <v>80</v>
      </c>
      <c r="AK20" s="15" t="s">
        <v>463</v>
      </c>
      <c r="AL20" s="15" t="s">
        <v>464</v>
      </c>
      <c r="AM20" s="15" t="s">
        <v>95</v>
      </c>
      <c r="AN20" s="15" t="s">
        <v>465</v>
      </c>
      <c r="AO20" s="15" t="s">
        <v>466</v>
      </c>
      <c r="AP20" s="15" t="s">
        <v>88</v>
      </c>
      <c r="AQ20" s="15" t="s">
        <v>467</v>
      </c>
      <c r="AR20" s="15" t="s">
        <v>468</v>
      </c>
      <c r="AS20" s="15" t="s">
        <v>100</v>
      </c>
      <c r="AT20" s="15" t="s">
        <v>469</v>
      </c>
      <c r="AU20" s="15" t="s">
        <v>470</v>
      </c>
      <c r="AV20" s="15" t="s">
        <v>102</v>
      </c>
      <c r="AW20" s="15" t="s">
        <v>471</v>
      </c>
      <c r="AX20" s="15" t="s">
        <v>472</v>
      </c>
      <c r="AY20" s="15"/>
      <c r="AZ20" s="15"/>
      <c r="BA20" s="15"/>
      <c r="BB20" s="15"/>
      <c r="BC20" s="15"/>
      <c r="BD20" s="15"/>
      <c r="BE20" s="15"/>
      <c r="BF20" s="15"/>
      <c r="BG20" s="15"/>
      <c r="BH20" s="15"/>
      <c r="BI20" s="15"/>
      <c r="BJ20" s="15"/>
      <c r="BK20" s="15"/>
      <c r="BL20" s="15"/>
      <c r="BM20" s="15"/>
      <c r="BN20" s="15"/>
      <c r="BO20" s="15"/>
      <c r="BP20" s="15"/>
      <c r="BQ20" s="15" t="s">
        <v>471</v>
      </c>
      <c r="BR20" s="15" t="s">
        <v>472</v>
      </c>
      <c r="BS20" s="15"/>
      <c r="BT20" s="15"/>
      <c r="BU20" s="15"/>
      <c r="BV20" s="15"/>
      <c r="BW20" s="15"/>
      <c r="BX20" s="15"/>
      <c r="BY20" s="15"/>
      <c r="BZ20" s="15"/>
      <c r="CA20" s="15"/>
      <c r="CB20" s="15"/>
      <c r="CC20" s="15"/>
      <c r="CD20" s="15"/>
      <c r="CE20" s="15"/>
      <c r="CF20" s="15"/>
      <c r="CG20" s="15"/>
      <c r="CH20" s="15"/>
      <c r="CI20" s="15"/>
      <c r="CJ20" s="15"/>
    </row>
    <row r="21" spans="1:88" ht="15.75" customHeight="1" x14ac:dyDescent="0.2">
      <c r="A21" s="1">
        <v>203023</v>
      </c>
      <c r="B21" s="2">
        <v>44426</v>
      </c>
      <c r="C21" s="15" t="s">
        <v>123</v>
      </c>
      <c r="D21" s="15" t="s">
        <v>473</v>
      </c>
      <c r="E21" s="15" t="s">
        <v>474</v>
      </c>
      <c r="F21" s="15" t="s">
        <v>75</v>
      </c>
      <c r="G21" s="15" t="s">
        <v>487</v>
      </c>
      <c r="H21" s="15" t="s">
        <v>488</v>
      </c>
      <c r="I21" s="15" t="s">
        <v>75</v>
      </c>
      <c r="J21" s="15" t="s">
        <v>489</v>
      </c>
      <c r="K21" s="15" t="s">
        <v>490</v>
      </c>
      <c r="L21" s="15" t="s">
        <v>75</v>
      </c>
      <c r="M21" s="15" t="s">
        <v>491</v>
      </c>
      <c r="N21" s="15" t="s">
        <v>492</v>
      </c>
      <c r="O21" s="15" t="s">
        <v>109</v>
      </c>
      <c r="P21" s="15" t="s">
        <v>493</v>
      </c>
      <c r="Q21" s="15" t="s">
        <v>494</v>
      </c>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row>
    <row r="22" spans="1:88" ht="15.75" customHeight="1" x14ac:dyDescent="0.2">
      <c r="A22" s="1">
        <v>203023</v>
      </c>
      <c r="B22" s="2">
        <v>44426</v>
      </c>
      <c r="C22" s="15" t="s">
        <v>130</v>
      </c>
      <c r="D22" s="15" t="s">
        <v>131</v>
      </c>
      <c r="E22" s="15" t="s">
        <v>83</v>
      </c>
      <c r="F22" s="15" t="s">
        <v>71</v>
      </c>
      <c r="G22" s="15" t="s">
        <v>505</v>
      </c>
      <c r="H22" s="15" t="s">
        <v>506</v>
      </c>
      <c r="I22" s="15" t="s">
        <v>69</v>
      </c>
      <c r="J22" s="15" t="s">
        <v>507</v>
      </c>
      <c r="K22" s="15" t="s">
        <v>508</v>
      </c>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5"/>
      <c r="BX22" s="15"/>
      <c r="BY22" s="15"/>
      <c r="BZ22" s="15"/>
      <c r="CA22" s="15"/>
      <c r="CB22" s="15"/>
      <c r="CC22" s="15"/>
      <c r="CD22" s="15"/>
      <c r="CE22" s="15"/>
      <c r="CF22" s="15"/>
      <c r="CG22" s="15"/>
      <c r="CH22" s="15"/>
      <c r="CI22" s="15"/>
      <c r="CJ22" s="15"/>
    </row>
    <row r="23" spans="1:88" ht="15.75" customHeight="1" x14ac:dyDescent="0.2">
      <c r="A23" s="1">
        <v>203023</v>
      </c>
      <c r="B23" s="2">
        <v>44426</v>
      </c>
      <c r="C23" s="15" t="s">
        <v>143</v>
      </c>
      <c r="D23" s="15" t="s">
        <v>144</v>
      </c>
      <c r="E23" s="15" t="s">
        <v>509</v>
      </c>
      <c r="F23" s="15" t="s">
        <v>75</v>
      </c>
      <c r="G23" s="15" t="s">
        <v>527</v>
      </c>
      <c r="H23" s="15" t="s">
        <v>528</v>
      </c>
      <c r="I23" s="15"/>
      <c r="J23" s="15" t="s">
        <v>528</v>
      </c>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5"/>
      <c r="BX23" s="15"/>
      <c r="BY23" s="15"/>
      <c r="BZ23" s="15"/>
      <c r="CA23" s="15"/>
      <c r="CB23" s="15"/>
      <c r="CC23" s="15"/>
      <c r="CD23" s="15"/>
      <c r="CE23" s="15"/>
      <c r="CF23" s="15"/>
      <c r="CG23" s="15"/>
      <c r="CH23" s="15"/>
      <c r="CI23" s="15"/>
      <c r="CJ23" s="15"/>
    </row>
    <row r="24" spans="1:88" ht="15.75" customHeight="1" x14ac:dyDescent="0.2">
      <c r="B24" s="2"/>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row>
    <row r="25" spans="1:88" ht="15.75" customHeight="1" x14ac:dyDescent="0.2">
      <c r="B25" s="2"/>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row>
    <row r="26" spans="1:88" ht="15.75" customHeight="1" x14ac:dyDescent="0.2">
      <c r="B26" s="2"/>
    </row>
    <row r="27" spans="1:88" s="8" customFormat="1" ht="15.75" customHeight="1" x14ac:dyDescent="0.2">
      <c r="B27" s="9"/>
    </row>
    <row r="28" spans="1:88" ht="15.75" customHeight="1" x14ac:dyDescent="0.2"/>
    <row r="29" spans="1:88" ht="15.75" customHeight="1" x14ac:dyDescent="0.2"/>
    <row r="30" spans="1:88" ht="15.75" customHeight="1" x14ac:dyDescent="0.2"/>
    <row r="31" spans="1:88" ht="15.75" customHeight="1" x14ac:dyDescent="0.2"/>
    <row r="32" spans="1:88"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sheetData>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H258"/>
  <sheetViews>
    <sheetView workbookViewId="0">
      <pane ySplit="1" topLeftCell="A36" activePane="bottomLeft" state="frozen"/>
      <selection pane="bottomLeft" activeCell="F5" sqref="F5"/>
    </sheetView>
  </sheetViews>
  <sheetFormatPr baseColWidth="10" defaultColWidth="11.5" defaultRowHeight="15" x14ac:dyDescent="0.2"/>
  <cols>
    <col min="1" max="1" width="11.5" style="1"/>
    <col min="2" max="2" width="23" style="1" customWidth="1"/>
    <col min="3" max="3" width="40.83203125" style="1" customWidth="1"/>
    <col min="4" max="4" width="41" style="1" customWidth="1"/>
    <col min="5" max="5" width="38.5" style="1" bestFit="1" customWidth="1"/>
    <col min="6" max="6" width="26.1640625" style="1" bestFit="1" customWidth="1"/>
    <col min="7" max="7" width="31.33203125" style="1" customWidth="1"/>
    <col min="8" max="8" width="49.5" style="1" customWidth="1"/>
    <col min="9" max="16384" width="11.5" style="1"/>
  </cols>
  <sheetData>
    <row r="1" spans="1:8" s="7" customFormat="1" x14ac:dyDescent="0.2">
      <c r="A1" s="10" t="s">
        <v>146</v>
      </c>
      <c r="B1" s="10" t="s">
        <v>147</v>
      </c>
      <c r="C1" s="10" t="s">
        <v>148</v>
      </c>
      <c r="D1" s="10" t="s">
        <v>151</v>
      </c>
      <c r="E1" s="10" t="s">
        <v>152</v>
      </c>
      <c r="F1" s="10" t="s">
        <v>145</v>
      </c>
      <c r="G1" s="10" t="s">
        <v>149</v>
      </c>
      <c r="H1" s="10" t="s">
        <v>150</v>
      </c>
    </row>
    <row r="2" spans="1:8" ht="144" x14ac:dyDescent="0.2">
      <c r="A2" s="1">
        <v>203023</v>
      </c>
      <c r="B2" s="1" t="s">
        <v>529</v>
      </c>
      <c r="C2" s="1" t="s">
        <v>137</v>
      </c>
      <c r="D2" s="1" t="s">
        <v>138</v>
      </c>
      <c r="E2" s="1" t="s">
        <v>155</v>
      </c>
      <c r="F2" s="1" t="s">
        <v>75</v>
      </c>
      <c r="G2" s="4" t="s">
        <v>156</v>
      </c>
      <c r="H2" s="1" t="s">
        <v>136</v>
      </c>
    </row>
    <row r="3" spans="1:8" ht="144" x14ac:dyDescent="0.2">
      <c r="A3" s="1">
        <v>203023</v>
      </c>
      <c r="B3" s="1" t="s">
        <v>529</v>
      </c>
      <c r="C3" s="1" t="s">
        <v>137</v>
      </c>
      <c r="D3" s="1" t="s">
        <v>138</v>
      </c>
      <c r="E3" s="1" t="s">
        <v>155</v>
      </c>
      <c r="F3" s="1" t="s">
        <v>109</v>
      </c>
      <c r="G3" s="4" t="s">
        <v>157</v>
      </c>
      <c r="H3" s="1" t="s">
        <v>136</v>
      </c>
    </row>
    <row r="4" spans="1:8" ht="112" x14ac:dyDescent="0.2">
      <c r="A4" s="1">
        <v>203023</v>
      </c>
      <c r="B4" s="1" t="s">
        <v>529</v>
      </c>
      <c r="C4" s="1" t="s">
        <v>137</v>
      </c>
      <c r="D4" s="1" t="s">
        <v>138</v>
      </c>
      <c r="E4" s="1" t="s">
        <v>155</v>
      </c>
      <c r="F4" s="4" t="s">
        <v>99</v>
      </c>
      <c r="G4" s="4" t="s">
        <v>158</v>
      </c>
      <c r="H4" s="4" t="s">
        <v>136</v>
      </c>
    </row>
    <row r="5" spans="1:8" ht="160" x14ac:dyDescent="0.2">
      <c r="A5" s="1">
        <v>203023</v>
      </c>
      <c r="B5" s="1" t="s">
        <v>529</v>
      </c>
      <c r="C5" s="1" t="s">
        <v>137</v>
      </c>
      <c r="D5" s="1" t="s">
        <v>138</v>
      </c>
      <c r="E5" s="1" t="s">
        <v>155</v>
      </c>
      <c r="F5" s="4" t="s">
        <v>86</v>
      </c>
      <c r="G5" s="4" t="s">
        <v>159</v>
      </c>
      <c r="H5" s="4" t="s">
        <v>136</v>
      </c>
    </row>
    <row r="6" spans="1:8" ht="112" x14ac:dyDescent="0.2">
      <c r="A6" s="1">
        <v>203023</v>
      </c>
      <c r="B6" s="1" t="s">
        <v>529</v>
      </c>
      <c r="C6" s="1" t="s">
        <v>137</v>
      </c>
      <c r="D6" s="1" t="s">
        <v>138</v>
      </c>
      <c r="E6" s="1" t="s">
        <v>155</v>
      </c>
      <c r="F6" s="4" t="s">
        <v>90</v>
      </c>
      <c r="G6" s="4" t="s">
        <v>160</v>
      </c>
      <c r="H6" s="1" t="s">
        <v>136</v>
      </c>
    </row>
    <row r="7" spans="1:8" ht="96" x14ac:dyDescent="0.2">
      <c r="A7" s="1">
        <v>203023</v>
      </c>
      <c r="B7" s="1" t="s">
        <v>529</v>
      </c>
      <c r="C7" s="1" t="s">
        <v>137</v>
      </c>
      <c r="D7" s="1" t="s">
        <v>138</v>
      </c>
      <c r="E7" s="1" t="s">
        <v>155</v>
      </c>
      <c r="F7" s="1" t="s">
        <v>70</v>
      </c>
      <c r="G7" s="4" t="s">
        <v>161</v>
      </c>
      <c r="H7" s="1" t="s">
        <v>136</v>
      </c>
    </row>
    <row r="8" spans="1:8" ht="128" x14ac:dyDescent="0.2">
      <c r="A8" s="1">
        <v>203023</v>
      </c>
      <c r="B8" s="1" t="s">
        <v>529</v>
      </c>
      <c r="C8" s="1" t="s">
        <v>137</v>
      </c>
      <c r="D8" s="1" t="s">
        <v>138</v>
      </c>
      <c r="E8" s="1" t="s">
        <v>155</v>
      </c>
      <c r="F8" s="1" t="s">
        <v>80</v>
      </c>
      <c r="G8" s="4" t="s">
        <v>162</v>
      </c>
      <c r="H8" s="1" t="s">
        <v>136</v>
      </c>
    </row>
    <row r="9" spans="1:8" ht="144" x14ac:dyDescent="0.2">
      <c r="A9" s="1">
        <v>203023</v>
      </c>
      <c r="B9" s="1" t="s">
        <v>529</v>
      </c>
      <c r="C9" s="1" t="s">
        <v>137</v>
      </c>
      <c r="D9" s="1" t="s">
        <v>138</v>
      </c>
      <c r="E9" s="1" t="s">
        <v>155</v>
      </c>
      <c r="F9" s="4" t="s">
        <v>88</v>
      </c>
      <c r="G9" s="4" t="s">
        <v>163</v>
      </c>
      <c r="H9" s="1" t="s">
        <v>136</v>
      </c>
    </row>
    <row r="10" spans="1:8" ht="128" x14ac:dyDescent="0.2">
      <c r="A10" s="1">
        <v>203023</v>
      </c>
      <c r="B10" s="1" t="s">
        <v>529</v>
      </c>
      <c r="C10" s="1" t="s">
        <v>137</v>
      </c>
      <c r="D10" s="1" t="s">
        <v>138</v>
      </c>
      <c r="E10" s="1" t="s">
        <v>155</v>
      </c>
      <c r="F10" s="4" t="s">
        <v>93</v>
      </c>
      <c r="G10" s="4" t="s">
        <v>164</v>
      </c>
      <c r="H10" s="1" t="s">
        <v>136</v>
      </c>
    </row>
    <row r="11" spans="1:8" ht="144" x14ac:dyDescent="0.2">
      <c r="A11" s="1">
        <v>203023</v>
      </c>
      <c r="B11" s="1" t="s">
        <v>529</v>
      </c>
      <c r="C11" s="1" t="s">
        <v>137</v>
      </c>
      <c r="D11" s="1" t="s">
        <v>138</v>
      </c>
      <c r="E11" s="1" t="s">
        <v>155</v>
      </c>
      <c r="F11" s="4" t="s">
        <v>69</v>
      </c>
      <c r="G11" s="4" t="s">
        <v>165</v>
      </c>
      <c r="H11" s="1" t="s">
        <v>136</v>
      </c>
    </row>
    <row r="12" spans="1:8" ht="128" x14ac:dyDescent="0.2">
      <c r="A12" s="1">
        <v>203023</v>
      </c>
      <c r="B12" s="1" t="s">
        <v>529</v>
      </c>
      <c r="C12" s="1" t="s">
        <v>137</v>
      </c>
      <c r="D12" s="1" t="s">
        <v>138</v>
      </c>
      <c r="E12" s="1" t="s">
        <v>155</v>
      </c>
      <c r="F12" s="4" t="s">
        <v>87</v>
      </c>
      <c r="G12" s="4" t="s">
        <v>166</v>
      </c>
      <c r="H12" s="1" t="s">
        <v>136</v>
      </c>
    </row>
    <row r="13" spans="1:8" ht="144" x14ac:dyDescent="0.2">
      <c r="A13" s="1">
        <v>203023</v>
      </c>
      <c r="B13" s="1" t="s">
        <v>529</v>
      </c>
      <c r="C13" s="1" t="s">
        <v>137</v>
      </c>
      <c r="D13" s="1" t="s">
        <v>138</v>
      </c>
      <c r="E13" s="1" t="s">
        <v>155</v>
      </c>
      <c r="F13" s="4" t="s">
        <v>110</v>
      </c>
      <c r="G13" s="4" t="s">
        <v>167</v>
      </c>
      <c r="H13" s="1" t="s">
        <v>136</v>
      </c>
    </row>
    <row r="14" spans="1:8" ht="128" x14ac:dyDescent="0.2">
      <c r="A14" s="1">
        <v>203023</v>
      </c>
      <c r="B14" s="1" t="s">
        <v>529</v>
      </c>
      <c r="C14" s="1" t="s">
        <v>137</v>
      </c>
      <c r="D14" s="1" t="s">
        <v>138</v>
      </c>
      <c r="E14" s="1" t="s">
        <v>155</v>
      </c>
      <c r="F14" s="4" t="s">
        <v>84</v>
      </c>
      <c r="G14" s="4" t="s">
        <v>168</v>
      </c>
      <c r="H14" s="1" t="s">
        <v>136</v>
      </c>
    </row>
    <row r="15" spans="1:8" ht="80" x14ac:dyDescent="0.2">
      <c r="A15" s="1">
        <v>203023</v>
      </c>
      <c r="B15" s="1" t="s">
        <v>529</v>
      </c>
      <c r="C15" s="1" t="s">
        <v>137</v>
      </c>
      <c r="D15" s="1" t="s">
        <v>138</v>
      </c>
      <c r="E15" s="1" t="s">
        <v>155</v>
      </c>
      <c r="F15" s="4" t="s">
        <v>72</v>
      </c>
      <c r="G15" s="4" t="s">
        <v>169</v>
      </c>
      <c r="H15" s="1" t="s">
        <v>136</v>
      </c>
    </row>
    <row r="16" spans="1:8" ht="80" x14ac:dyDescent="0.2">
      <c r="A16" s="1">
        <v>203023</v>
      </c>
      <c r="B16" s="1" t="s">
        <v>529</v>
      </c>
      <c r="C16" s="1" t="s">
        <v>137</v>
      </c>
      <c r="D16" s="1" t="s">
        <v>138</v>
      </c>
      <c r="E16" s="1" t="s">
        <v>155</v>
      </c>
      <c r="F16" s="4" t="s">
        <v>111</v>
      </c>
      <c r="G16" s="4" t="s">
        <v>170</v>
      </c>
      <c r="H16" s="1" t="s">
        <v>136</v>
      </c>
    </row>
    <row r="17" spans="1:8" ht="80" x14ac:dyDescent="0.2">
      <c r="A17" s="1">
        <v>203023</v>
      </c>
      <c r="B17" s="1" t="s">
        <v>529</v>
      </c>
      <c r="C17" s="1" t="s">
        <v>137</v>
      </c>
      <c r="D17" s="1" t="s">
        <v>138</v>
      </c>
      <c r="E17" s="1" t="s">
        <v>155</v>
      </c>
      <c r="F17" s="4" t="s">
        <v>100</v>
      </c>
      <c r="G17" s="4" t="s">
        <v>171</v>
      </c>
      <c r="H17" s="1" t="s">
        <v>136</v>
      </c>
    </row>
    <row r="18" spans="1:8" ht="112" x14ac:dyDescent="0.2">
      <c r="A18" s="1">
        <v>203023</v>
      </c>
      <c r="B18" s="1" t="s">
        <v>529</v>
      </c>
      <c r="C18" s="1" t="s">
        <v>137</v>
      </c>
      <c r="D18" s="1" t="s">
        <v>138</v>
      </c>
      <c r="E18" s="1" t="s">
        <v>155</v>
      </c>
      <c r="F18" s="4" t="s">
        <v>102</v>
      </c>
      <c r="G18" s="4" t="s">
        <v>172</v>
      </c>
      <c r="H18" s="1" t="s">
        <v>136</v>
      </c>
    </row>
    <row r="19" spans="1:8" ht="144" x14ac:dyDescent="0.2">
      <c r="A19" s="1">
        <v>203023</v>
      </c>
      <c r="B19" s="1" t="s">
        <v>529</v>
      </c>
      <c r="C19" s="1" t="s">
        <v>137</v>
      </c>
      <c r="D19" s="1" t="s">
        <v>138</v>
      </c>
      <c r="E19" s="1" t="s">
        <v>155</v>
      </c>
      <c r="F19" s="4" t="s">
        <v>95</v>
      </c>
      <c r="G19" s="4" t="s">
        <v>173</v>
      </c>
      <c r="H19" s="1" t="s">
        <v>136</v>
      </c>
    </row>
    <row r="20" spans="1:8" ht="80" x14ac:dyDescent="0.2">
      <c r="A20" s="1">
        <v>203023</v>
      </c>
      <c r="B20" s="1" t="s">
        <v>529</v>
      </c>
      <c r="C20" s="1" t="s">
        <v>137</v>
      </c>
      <c r="D20" s="1" t="s">
        <v>138</v>
      </c>
      <c r="E20" s="1" t="s">
        <v>155</v>
      </c>
      <c r="F20" s="4" t="s">
        <v>101</v>
      </c>
      <c r="G20" s="4" t="s">
        <v>174</v>
      </c>
      <c r="H20" s="1" t="s">
        <v>136</v>
      </c>
    </row>
    <row r="21" spans="1:8" ht="160" x14ac:dyDescent="0.2">
      <c r="A21" s="1">
        <v>203023</v>
      </c>
      <c r="B21" s="1" t="s">
        <v>529</v>
      </c>
      <c r="C21" s="1" t="s">
        <v>137</v>
      </c>
      <c r="D21" s="1" t="s">
        <v>138</v>
      </c>
      <c r="E21" s="1" t="s">
        <v>155</v>
      </c>
      <c r="F21" s="4" t="s">
        <v>112</v>
      </c>
      <c r="G21" s="4" t="s">
        <v>175</v>
      </c>
      <c r="H21" s="1" t="s">
        <v>136</v>
      </c>
    </row>
    <row r="22" spans="1:8" ht="112" x14ac:dyDescent="0.2">
      <c r="A22" s="1">
        <v>203023</v>
      </c>
      <c r="B22" s="1" t="s">
        <v>529</v>
      </c>
      <c r="C22" s="1" t="s">
        <v>137</v>
      </c>
      <c r="D22" s="1" t="s">
        <v>138</v>
      </c>
      <c r="E22" s="1" t="s">
        <v>155</v>
      </c>
      <c r="F22" s="4" t="s">
        <v>71</v>
      </c>
      <c r="G22" s="4" t="s">
        <v>176</v>
      </c>
      <c r="H22" s="1" t="s">
        <v>136</v>
      </c>
    </row>
    <row r="23" spans="1:8" ht="16" x14ac:dyDescent="0.2">
      <c r="A23" s="1">
        <v>203023</v>
      </c>
      <c r="B23" s="1" t="s">
        <v>529</v>
      </c>
      <c r="C23" s="1" t="s">
        <v>68</v>
      </c>
      <c r="D23" s="1" t="s">
        <v>177</v>
      </c>
      <c r="E23" s="1" t="s">
        <v>178</v>
      </c>
      <c r="F23" s="4" t="s">
        <v>80</v>
      </c>
      <c r="G23" s="1" t="s">
        <v>179</v>
      </c>
      <c r="H23" s="1" t="s">
        <v>180</v>
      </c>
    </row>
    <row r="24" spans="1:8" ht="32" x14ac:dyDescent="0.2">
      <c r="A24" s="1">
        <v>203023</v>
      </c>
      <c r="B24" s="1" t="s">
        <v>529</v>
      </c>
      <c r="C24" s="1" t="s">
        <v>68</v>
      </c>
      <c r="D24" s="1" t="s">
        <v>177</v>
      </c>
      <c r="E24" s="1" t="s">
        <v>178</v>
      </c>
      <c r="F24" s="1" t="s">
        <v>69</v>
      </c>
      <c r="G24" s="1" t="s">
        <v>181</v>
      </c>
      <c r="H24" s="4" t="s">
        <v>182</v>
      </c>
    </row>
    <row r="25" spans="1:8" x14ac:dyDescent="0.2">
      <c r="A25" s="1">
        <v>203023</v>
      </c>
      <c r="B25" s="1" t="s">
        <v>529</v>
      </c>
      <c r="C25" s="1" t="s">
        <v>68</v>
      </c>
      <c r="D25" s="1" t="s">
        <v>177</v>
      </c>
      <c r="E25" s="1" t="s">
        <v>178</v>
      </c>
      <c r="F25" s="1" t="s">
        <v>69</v>
      </c>
      <c r="G25" s="1" t="s">
        <v>183</v>
      </c>
      <c r="H25" s="1" t="s">
        <v>184</v>
      </c>
    </row>
    <row r="26" spans="1:8" x14ac:dyDescent="0.2">
      <c r="A26" s="1">
        <v>203023</v>
      </c>
      <c r="B26" s="1" t="s">
        <v>529</v>
      </c>
      <c r="C26" s="1" t="s">
        <v>68</v>
      </c>
      <c r="D26" s="1" t="s">
        <v>177</v>
      </c>
      <c r="E26" s="1" t="s">
        <v>178</v>
      </c>
      <c r="F26" s="1" t="s">
        <v>112</v>
      </c>
      <c r="G26" s="1" t="s">
        <v>185</v>
      </c>
      <c r="H26" s="1" t="s">
        <v>186</v>
      </c>
    </row>
    <row r="27" spans="1:8" x14ac:dyDescent="0.2">
      <c r="A27" s="1">
        <v>203023</v>
      </c>
      <c r="B27" s="1" t="s">
        <v>529</v>
      </c>
      <c r="C27" s="1" t="s">
        <v>68</v>
      </c>
      <c r="D27" s="1" t="s">
        <v>177</v>
      </c>
      <c r="E27" s="1" t="s">
        <v>178</v>
      </c>
      <c r="F27" s="1" t="s">
        <v>69</v>
      </c>
      <c r="G27" s="1" t="s">
        <v>187</v>
      </c>
      <c r="H27" s="1" t="s">
        <v>188</v>
      </c>
    </row>
    <row r="28" spans="1:8" x14ac:dyDescent="0.2">
      <c r="A28" s="1">
        <v>203023</v>
      </c>
      <c r="B28" s="1" t="s">
        <v>529</v>
      </c>
      <c r="C28" s="1" t="s">
        <v>68</v>
      </c>
      <c r="D28" s="1" t="s">
        <v>177</v>
      </c>
      <c r="E28" s="1" t="s">
        <v>178</v>
      </c>
      <c r="F28" s="1" t="s">
        <v>69</v>
      </c>
      <c r="G28" s="1" t="s">
        <v>189</v>
      </c>
      <c r="H28" s="1" t="s">
        <v>190</v>
      </c>
    </row>
    <row r="29" spans="1:8" x14ac:dyDescent="0.2">
      <c r="A29" s="1">
        <v>203023</v>
      </c>
      <c r="B29" s="1" t="s">
        <v>529</v>
      </c>
      <c r="C29" s="1" t="s">
        <v>77</v>
      </c>
      <c r="D29" s="1" t="s">
        <v>78</v>
      </c>
      <c r="E29" s="1" t="s">
        <v>79</v>
      </c>
      <c r="F29" s="1" t="s">
        <v>112</v>
      </c>
      <c r="G29" s="1" t="s">
        <v>191</v>
      </c>
      <c r="H29" s="1" t="s">
        <v>192</v>
      </c>
    </row>
    <row r="30" spans="1:8" ht="224" x14ac:dyDescent="0.2">
      <c r="A30" s="1">
        <v>203023</v>
      </c>
      <c r="B30" s="1" t="s">
        <v>529</v>
      </c>
      <c r="C30" s="1" t="s">
        <v>142</v>
      </c>
      <c r="D30" s="1" t="s">
        <v>193</v>
      </c>
      <c r="E30" s="1" t="s">
        <v>194</v>
      </c>
      <c r="F30" s="1" t="s">
        <v>75</v>
      </c>
      <c r="G30" s="4" t="s">
        <v>195</v>
      </c>
      <c r="H30" s="1" t="s">
        <v>76</v>
      </c>
    </row>
    <row r="31" spans="1:8" ht="240" x14ac:dyDescent="0.2">
      <c r="A31" s="1">
        <v>203023</v>
      </c>
      <c r="B31" s="1" t="s">
        <v>529</v>
      </c>
      <c r="C31" s="1" t="s">
        <v>142</v>
      </c>
      <c r="D31" s="1" t="s">
        <v>193</v>
      </c>
      <c r="E31" s="1" t="s">
        <v>194</v>
      </c>
      <c r="F31" s="1" t="s">
        <v>109</v>
      </c>
      <c r="G31" s="4" t="s">
        <v>196</v>
      </c>
      <c r="H31" s="1" t="s">
        <v>76</v>
      </c>
    </row>
    <row r="32" spans="1:8" ht="272" x14ac:dyDescent="0.2">
      <c r="A32" s="1">
        <v>203023</v>
      </c>
      <c r="B32" s="1" t="s">
        <v>529</v>
      </c>
      <c r="C32" s="1" t="s">
        <v>142</v>
      </c>
      <c r="D32" s="1" t="s">
        <v>193</v>
      </c>
      <c r="E32" s="1" t="s">
        <v>194</v>
      </c>
      <c r="F32" s="1" t="s">
        <v>99</v>
      </c>
      <c r="G32" s="4" t="s">
        <v>197</v>
      </c>
      <c r="H32" s="1" t="s">
        <v>76</v>
      </c>
    </row>
    <row r="33" spans="1:8" ht="192" x14ac:dyDescent="0.2">
      <c r="A33" s="1">
        <v>203023</v>
      </c>
      <c r="B33" s="1" t="s">
        <v>529</v>
      </c>
      <c r="C33" s="1" t="s">
        <v>142</v>
      </c>
      <c r="D33" s="1" t="s">
        <v>193</v>
      </c>
      <c r="E33" s="1" t="s">
        <v>194</v>
      </c>
      <c r="F33" s="1" t="s">
        <v>86</v>
      </c>
      <c r="G33" s="4" t="s">
        <v>198</v>
      </c>
      <c r="H33" s="1" t="s">
        <v>76</v>
      </c>
    </row>
    <row r="34" spans="1:8" ht="160" x14ac:dyDescent="0.2">
      <c r="A34" s="1">
        <v>203023</v>
      </c>
      <c r="B34" s="1" t="s">
        <v>529</v>
      </c>
      <c r="C34" s="1" t="s">
        <v>142</v>
      </c>
      <c r="D34" s="1" t="s">
        <v>193</v>
      </c>
      <c r="E34" s="1" t="s">
        <v>194</v>
      </c>
      <c r="F34" s="1" t="s">
        <v>90</v>
      </c>
      <c r="G34" s="4" t="s">
        <v>199</v>
      </c>
      <c r="H34" s="1" t="s">
        <v>76</v>
      </c>
    </row>
    <row r="35" spans="1:8" ht="256" x14ac:dyDescent="0.2">
      <c r="A35" s="1">
        <v>203023</v>
      </c>
      <c r="B35" s="1" t="s">
        <v>529</v>
      </c>
      <c r="C35" s="1" t="s">
        <v>142</v>
      </c>
      <c r="D35" s="1" t="s">
        <v>193</v>
      </c>
      <c r="E35" s="1" t="s">
        <v>194</v>
      </c>
      <c r="F35" s="1" t="s">
        <v>70</v>
      </c>
      <c r="G35" s="4" t="s">
        <v>200</v>
      </c>
      <c r="H35" s="1" t="s">
        <v>76</v>
      </c>
    </row>
    <row r="36" spans="1:8" ht="256" x14ac:dyDescent="0.2">
      <c r="A36" s="1">
        <v>203023</v>
      </c>
      <c r="B36" s="1" t="s">
        <v>529</v>
      </c>
      <c r="C36" s="1" t="s">
        <v>142</v>
      </c>
      <c r="D36" s="1" t="s">
        <v>193</v>
      </c>
      <c r="E36" s="1" t="s">
        <v>194</v>
      </c>
      <c r="F36" s="1" t="s">
        <v>80</v>
      </c>
      <c r="G36" s="4" t="s">
        <v>201</v>
      </c>
      <c r="H36" s="1" t="s">
        <v>76</v>
      </c>
    </row>
    <row r="37" spans="1:8" ht="112" x14ac:dyDescent="0.2">
      <c r="A37" s="1">
        <v>203023</v>
      </c>
      <c r="B37" s="1" t="s">
        <v>529</v>
      </c>
      <c r="C37" s="1" t="s">
        <v>142</v>
      </c>
      <c r="D37" s="1" t="s">
        <v>193</v>
      </c>
      <c r="E37" s="1" t="s">
        <v>194</v>
      </c>
      <c r="F37" s="1" t="s">
        <v>88</v>
      </c>
      <c r="G37" s="4" t="s">
        <v>202</v>
      </c>
      <c r="H37" s="1" t="s">
        <v>76</v>
      </c>
    </row>
    <row r="38" spans="1:8" ht="224" x14ac:dyDescent="0.2">
      <c r="A38" s="1">
        <v>203023</v>
      </c>
      <c r="B38" s="1" t="s">
        <v>529</v>
      </c>
      <c r="C38" s="1" t="s">
        <v>142</v>
      </c>
      <c r="D38" s="1" t="s">
        <v>193</v>
      </c>
      <c r="E38" s="1" t="s">
        <v>194</v>
      </c>
      <c r="F38" s="1" t="s">
        <v>93</v>
      </c>
      <c r="G38" s="4" t="s">
        <v>203</v>
      </c>
      <c r="H38" s="1" t="s">
        <v>76</v>
      </c>
    </row>
    <row r="39" spans="1:8" ht="144" x14ac:dyDescent="0.2">
      <c r="A39" s="1">
        <v>203023</v>
      </c>
      <c r="B39" s="1" t="s">
        <v>529</v>
      </c>
      <c r="C39" s="1" t="s">
        <v>142</v>
      </c>
      <c r="D39" s="1" t="s">
        <v>193</v>
      </c>
      <c r="E39" s="1" t="s">
        <v>194</v>
      </c>
      <c r="F39" s="1" t="s">
        <v>69</v>
      </c>
      <c r="G39" s="4" t="s">
        <v>204</v>
      </c>
      <c r="H39" s="1" t="s">
        <v>76</v>
      </c>
    </row>
    <row r="40" spans="1:8" ht="144" x14ac:dyDescent="0.2">
      <c r="A40" s="1">
        <v>203023</v>
      </c>
      <c r="B40" s="1" t="s">
        <v>529</v>
      </c>
      <c r="C40" s="1" t="s">
        <v>142</v>
      </c>
      <c r="D40" s="1" t="s">
        <v>193</v>
      </c>
      <c r="E40" s="1" t="s">
        <v>194</v>
      </c>
      <c r="F40" s="1" t="s">
        <v>87</v>
      </c>
      <c r="G40" s="4" t="s">
        <v>205</v>
      </c>
      <c r="H40" s="1" t="s">
        <v>76</v>
      </c>
    </row>
    <row r="41" spans="1:8" ht="96" x14ac:dyDescent="0.2">
      <c r="A41" s="1">
        <v>203023</v>
      </c>
      <c r="B41" s="1" t="s">
        <v>529</v>
      </c>
      <c r="C41" s="1" t="s">
        <v>142</v>
      </c>
      <c r="D41" s="1" t="s">
        <v>193</v>
      </c>
      <c r="E41" s="1" t="s">
        <v>194</v>
      </c>
      <c r="F41" s="1" t="s">
        <v>72</v>
      </c>
      <c r="G41" s="4" t="s">
        <v>206</v>
      </c>
      <c r="H41" s="1" t="s">
        <v>76</v>
      </c>
    </row>
    <row r="42" spans="1:8" ht="335" x14ac:dyDescent="0.2">
      <c r="A42" s="1">
        <v>203023</v>
      </c>
      <c r="B42" s="1" t="s">
        <v>529</v>
      </c>
      <c r="C42" s="1" t="s">
        <v>142</v>
      </c>
      <c r="D42" s="1" t="s">
        <v>193</v>
      </c>
      <c r="E42" s="1" t="s">
        <v>194</v>
      </c>
      <c r="F42" s="1" t="s">
        <v>111</v>
      </c>
      <c r="G42" s="4" t="s">
        <v>207</v>
      </c>
      <c r="H42" s="1" t="s">
        <v>76</v>
      </c>
    </row>
    <row r="43" spans="1:8" ht="256" x14ac:dyDescent="0.2">
      <c r="A43" s="1">
        <v>203023</v>
      </c>
      <c r="B43" s="1" t="s">
        <v>529</v>
      </c>
      <c r="C43" s="1" t="s">
        <v>142</v>
      </c>
      <c r="D43" s="1" t="s">
        <v>193</v>
      </c>
      <c r="E43" s="1" t="s">
        <v>194</v>
      </c>
      <c r="F43" s="1" t="s">
        <v>100</v>
      </c>
      <c r="G43" s="4" t="s">
        <v>208</v>
      </c>
      <c r="H43" s="4" t="s">
        <v>76</v>
      </c>
    </row>
    <row r="44" spans="1:8" ht="144" x14ac:dyDescent="0.2">
      <c r="A44" s="1">
        <v>203023</v>
      </c>
      <c r="B44" s="1" t="s">
        <v>529</v>
      </c>
      <c r="C44" s="1" t="s">
        <v>142</v>
      </c>
      <c r="D44" s="1" t="s">
        <v>193</v>
      </c>
      <c r="E44" s="1" t="s">
        <v>194</v>
      </c>
      <c r="F44" s="4" t="s">
        <v>102</v>
      </c>
      <c r="G44" s="4" t="s">
        <v>209</v>
      </c>
      <c r="H44" s="4" t="s">
        <v>76</v>
      </c>
    </row>
    <row r="45" spans="1:8" ht="224" x14ac:dyDescent="0.2">
      <c r="A45" s="1">
        <v>203023</v>
      </c>
      <c r="B45" s="1" t="s">
        <v>529</v>
      </c>
      <c r="C45" s="1" t="s">
        <v>142</v>
      </c>
      <c r="D45" s="1" t="s">
        <v>193</v>
      </c>
      <c r="E45" s="1" t="s">
        <v>194</v>
      </c>
      <c r="F45" s="4" t="s">
        <v>101</v>
      </c>
      <c r="G45" s="4" t="s">
        <v>210</v>
      </c>
      <c r="H45" s="4" t="s">
        <v>76</v>
      </c>
    </row>
    <row r="46" spans="1:8" ht="304" x14ac:dyDescent="0.2">
      <c r="A46" s="1">
        <v>203023</v>
      </c>
      <c r="B46" s="1" t="s">
        <v>529</v>
      </c>
      <c r="C46" s="1" t="s">
        <v>142</v>
      </c>
      <c r="D46" s="1" t="s">
        <v>193</v>
      </c>
      <c r="E46" s="1" t="s">
        <v>194</v>
      </c>
      <c r="F46" s="4" t="s">
        <v>112</v>
      </c>
      <c r="G46" s="4" t="s">
        <v>211</v>
      </c>
      <c r="H46" s="1" t="s">
        <v>76</v>
      </c>
    </row>
    <row r="47" spans="1:8" ht="176" x14ac:dyDescent="0.2">
      <c r="A47" s="1">
        <v>203023</v>
      </c>
      <c r="B47" s="1" t="s">
        <v>529</v>
      </c>
      <c r="C47" s="1" t="s">
        <v>142</v>
      </c>
      <c r="D47" s="1" t="s">
        <v>193</v>
      </c>
      <c r="E47" s="1" t="s">
        <v>194</v>
      </c>
      <c r="F47" s="1" t="s">
        <v>71</v>
      </c>
      <c r="G47" s="4" t="s">
        <v>212</v>
      </c>
      <c r="H47" s="1" t="s">
        <v>76</v>
      </c>
    </row>
    <row r="48" spans="1:8" ht="160" x14ac:dyDescent="0.2">
      <c r="A48" s="1">
        <v>203023</v>
      </c>
      <c r="B48" s="1" t="s">
        <v>529</v>
      </c>
      <c r="C48" s="1" t="s">
        <v>81</v>
      </c>
      <c r="D48" s="1" t="s">
        <v>82</v>
      </c>
      <c r="E48" s="1" t="s">
        <v>83</v>
      </c>
      <c r="F48" s="4" t="s">
        <v>75</v>
      </c>
      <c r="G48" s="4" t="s">
        <v>213</v>
      </c>
      <c r="H48" s="4" t="s">
        <v>85</v>
      </c>
    </row>
    <row r="49" spans="1:8" ht="80" x14ac:dyDescent="0.2">
      <c r="A49" s="1">
        <v>203023</v>
      </c>
      <c r="B49" s="1" t="s">
        <v>529</v>
      </c>
      <c r="C49" s="1" t="s">
        <v>81</v>
      </c>
      <c r="D49" s="1" t="s">
        <v>82</v>
      </c>
      <c r="E49" s="1" t="s">
        <v>83</v>
      </c>
      <c r="F49" s="4" t="s">
        <v>100</v>
      </c>
      <c r="G49" s="4" t="s">
        <v>214</v>
      </c>
      <c r="H49" s="1" t="s">
        <v>85</v>
      </c>
    </row>
    <row r="50" spans="1:8" ht="16" x14ac:dyDescent="0.2">
      <c r="A50" s="1">
        <v>203023</v>
      </c>
      <c r="B50" s="1" t="s">
        <v>529</v>
      </c>
      <c r="C50" s="1" t="s">
        <v>81</v>
      </c>
      <c r="D50" s="1" t="s">
        <v>82</v>
      </c>
      <c r="E50" s="1" t="s">
        <v>83</v>
      </c>
      <c r="F50" s="4" t="s">
        <v>112</v>
      </c>
      <c r="G50" s="1" t="s">
        <v>215</v>
      </c>
      <c r="H50" s="1" t="s">
        <v>89</v>
      </c>
    </row>
    <row r="51" spans="1:8" ht="16" x14ac:dyDescent="0.2">
      <c r="A51" s="1">
        <v>203023</v>
      </c>
      <c r="B51" s="1" t="s">
        <v>529</v>
      </c>
      <c r="C51" s="1" t="s">
        <v>81</v>
      </c>
      <c r="D51" s="1" t="s">
        <v>82</v>
      </c>
      <c r="E51" s="1" t="s">
        <v>83</v>
      </c>
      <c r="F51" s="4" t="s">
        <v>86</v>
      </c>
      <c r="G51" s="1" t="s">
        <v>216</v>
      </c>
      <c r="H51" s="1" t="s">
        <v>89</v>
      </c>
    </row>
    <row r="52" spans="1:8" ht="16" x14ac:dyDescent="0.2">
      <c r="A52" s="1">
        <v>203023</v>
      </c>
      <c r="B52" s="1" t="s">
        <v>529</v>
      </c>
      <c r="C52" s="1" t="s">
        <v>81</v>
      </c>
      <c r="D52" s="1" t="s">
        <v>82</v>
      </c>
      <c r="E52" s="1" t="s">
        <v>83</v>
      </c>
      <c r="F52" s="4" t="s">
        <v>72</v>
      </c>
      <c r="G52" s="1" t="s">
        <v>217</v>
      </c>
      <c r="H52" s="1" t="s">
        <v>85</v>
      </c>
    </row>
    <row r="53" spans="1:8" ht="32" x14ac:dyDescent="0.2">
      <c r="A53" s="1">
        <v>203023</v>
      </c>
      <c r="B53" s="1" t="s">
        <v>529</v>
      </c>
      <c r="C53" s="1" t="s">
        <v>124</v>
      </c>
      <c r="D53" s="1" t="s">
        <v>125</v>
      </c>
      <c r="E53" s="1" t="s">
        <v>218</v>
      </c>
      <c r="F53" s="4" t="s">
        <v>84</v>
      </c>
      <c r="G53" s="1" t="s">
        <v>219</v>
      </c>
      <c r="H53" s="4" t="s">
        <v>220</v>
      </c>
    </row>
    <row r="54" spans="1:8" ht="16" x14ac:dyDescent="0.2">
      <c r="A54" s="1">
        <v>203023</v>
      </c>
      <c r="B54" s="1" t="s">
        <v>529</v>
      </c>
      <c r="C54" s="1" t="s">
        <v>124</v>
      </c>
      <c r="D54" s="1" t="s">
        <v>125</v>
      </c>
      <c r="E54" s="1" t="s">
        <v>218</v>
      </c>
      <c r="F54" s="4" t="s">
        <v>102</v>
      </c>
      <c r="G54" s="1" t="s">
        <v>221</v>
      </c>
      <c r="H54" s="1" t="s">
        <v>222</v>
      </c>
    </row>
    <row r="55" spans="1:8" ht="16" x14ac:dyDescent="0.2">
      <c r="A55" s="1">
        <v>203023</v>
      </c>
      <c r="B55" s="1" t="s">
        <v>529</v>
      </c>
      <c r="C55" s="1" t="s">
        <v>91</v>
      </c>
      <c r="D55" s="1" t="s">
        <v>92</v>
      </c>
      <c r="E55" s="1" t="s">
        <v>83</v>
      </c>
      <c r="F55" s="4" t="s">
        <v>75</v>
      </c>
      <c r="G55" s="1" t="s">
        <v>223</v>
      </c>
      <c r="H55" s="1" t="s">
        <v>224</v>
      </c>
    </row>
    <row r="56" spans="1:8" ht="16" x14ac:dyDescent="0.2">
      <c r="A56" s="1">
        <v>203023</v>
      </c>
      <c r="B56" s="1" t="s">
        <v>529</v>
      </c>
      <c r="C56" s="1" t="s">
        <v>91</v>
      </c>
      <c r="D56" s="1" t="s">
        <v>92</v>
      </c>
      <c r="E56" s="1" t="s">
        <v>83</v>
      </c>
      <c r="F56" s="4" t="s">
        <v>90</v>
      </c>
      <c r="G56" s="1" t="s">
        <v>223</v>
      </c>
      <c r="H56" s="1" t="s">
        <v>225</v>
      </c>
    </row>
    <row r="57" spans="1:8" ht="16" x14ac:dyDescent="0.2">
      <c r="A57" s="1">
        <v>203023</v>
      </c>
      <c r="B57" s="1" t="s">
        <v>529</v>
      </c>
      <c r="C57" s="1" t="s">
        <v>91</v>
      </c>
      <c r="D57" s="1" t="s">
        <v>92</v>
      </c>
      <c r="E57" s="1" t="s">
        <v>83</v>
      </c>
      <c r="F57" s="4" t="s">
        <v>80</v>
      </c>
      <c r="G57" s="1" t="s">
        <v>223</v>
      </c>
      <c r="H57" s="1" t="s">
        <v>226</v>
      </c>
    </row>
    <row r="58" spans="1:8" ht="16" x14ac:dyDescent="0.2">
      <c r="A58" s="1">
        <v>203023</v>
      </c>
      <c r="B58" s="1" t="s">
        <v>529</v>
      </c>
      <c r="C58" s="1" t="s">
        <v>91</v>
      </c>
      <c r="D58" s="1" t="s">
        <v>92</v>
      </c>
      <c r="E58" s="1" t="s">
        <v>83</v>
      </c>
      <c r="F58" s="4" t="s">
        <v>88</v>
      </c>
      <c r="G58" s="1" t="s">
        <v>227</v>
      </c>
      <c r="H58" s="1" t="s">
        <v>228</v>
      </c>
    </row>
    <row r="59" spans="1:8" ht="16" x14ac:dyDescent="0.2">
      <c r="A59" s="1">
        <v>203023</v>
      </c>
      <c r="B59" s="1" t="s">
        <v>529</v>
      </c>
      <c r="C59" s="1" t="s">
        <v>91</v>
      </c>
      <c r="D59" s="1" t="s">
        <v>92</v>
      </c>
      <c r="E59" s="1" t="s">
        <v>83</v>
      </c>
      <c r="F59" s="4" t="s">
        <v>95</v>
      </c>
      <c r="G59" s="1" t="s">
        <v>223</v>
      </c>
      <c r="H59" s="1" t="s">
        <v>94</v>
      </c>
    </row>
    <row r="60" spans="1:8" ht="16" x14ac:dyDescent="0.2">
      <c r="A60" s="1">
        <v>203023</v>
      </c>
      <c r="B60" s="1" t="s">
        <v>529</v>
      </c>
      <c r="C60" s="1" t="s">
        <v>91</v>
      </c>
      <c r="D60" s="1" t="s">
        <v>92</v>
      </c>
      <c r="E60" s="1" t="s">
        <v>83</v>
      </c>
      <c r="F60" s="4" t="s">
        <v>112</v>
      </c>
      <c r="G60" s="1" t="s">
        <v>223</v>
      </c>
      <c r="H60" s="1" t="s">
        <v>229</v>
      </c>
    </row>
    <row r="61" spans="1:8" ht="16" x14ac:dyDescent="0.2">
      <c r="A61" s="1">
        <v>203023</v>
      </c>
      <c r="B61" s="1" t="s">
        <v>529</v>
      </c>
      <c r="C61" s="1" t="s">
        <v>91</v>
      </c>
      <c r="D61" s="1" t="s">
        <v>92</v>
      </c>
      <c r="E61" s="1" t="s">
        <v>83</v>
      </c>
      <c r="F61" s="4" t="s">
        <v>71</v>
      </c>
      <c r="G61" s="1" t="s">
        <v>223</v>
      </c>
      <c r="H61" s="1" t="s">
        <v>230</v>
      </c>
    </row>
    <row r="62" spans="1:8" ht="16" x14ac:dyDescent="0.2">
      <c r="A62" s="1">
        <v>203023</v>
      </c>
      <c r="B62" s="1" t="s">
        <v>529</v>
      </c>
      <c r="C62" s="1" t="s">
        <v>91</v>
      </c>
      <c r="D62" s="1" t="s">
        <v>92</v>
      </c>
      <c r="E62" s="1" t="s">
        <v>83</v>
      </c>
      <c r="F62" s="4" t="s">
        <v>100</v>
      </c>
      <c r="G62" s="1" t="s">
        <v>231</v>
      </c>
    </row>
    <row r="63" spans="1:8" ht="409.6" x14ac:dyDescent="0.2">
      <c r="A63" s="1">
        <v>203023</v>
      </c>
      <c r="B63" s="1" t="s">
        <v>529</v>
      </c>
      <c r="C63" s="1" t="s">
        <v>107</v>
      </c>
      <c r="D63" s="1" t="s">
        <v>108</v>
      </c>
      <c r="E63" s="1" t="s">
        <v>232</v>
      </c>
      <c r="F63" s="4" t="s">
        <v>75</v>
      </c>
      <c r="G63" s="4" t="s">
        <v>233</v>
      </c>
      <c r="H63" s="1" t="s">
        <v>234</v>
      </c>
    </row>
    <row r="64" spans="1:8" ht="409.6" x14ac:dyDescent="0.2">
      <c r="A64" s="1">
        <v>203023</v>
      </c>
      <c r="B64" s="1" t="s">
        <v>529</v>
      </c>
      <c r="C64" s="1" t="s">
        <v>107</v>
      </c>
      <c r="D64" s="1" t="s">
        <v>108</v>
      </c>
      <c r="E64" s="1" t="s">
        <v>232</v>
      </c>
      <c r="F64" s="1" t="s">
        <v>109</v>
      </c>
      <c r="G64" s="4" t="s">
        <v>235</v>
      </c>
      <c r="H64" s="4" t="s">
        <v>236</v>
      </c>
    </row>
    <row r="65" spans="1:8" ht="176" x14ac:dyDescent="0.2">
      <c r="A65" s="1">
        <v>203023</v>
      </c>
      <c r="B65" s="1" t="s">
        <v>529</v>
      </c>
      <c r="C65" s="1" t="s">
        <v>107</v>
      </c>
      <c r="D65" s="1" t="s">
        <v>108</v>
      </c>
      <c r="E65" s="1" t="s">
        <v>232</v>
      </c>
      <c r="F65" s="1" t="s">
        <v>99</v>
      </c>
      <c r="G65" s="4" t="s">
        <v>237</v>
      </c>
      <c r="H65" s="4" t="s">
        <v>238</v>
      </c>
    </row>
    <row r="66" spans="1:8" ht="409.6" x14ac:dyDescent="0.2">
      <c r="A66" s="1">
        <v>203023</v>
      </c>
      <c r="B66" s="1" t="s">
        <v>529</v>
      </c>
      <c r="C66" s="1" t="s">
        <v>107</v>
      </c>
      <c r="D66" s="1" t="s">
        <v>108</v>
      </c>
      <c r="E66" s="1" t="s">
        <v>232</v>
      </c>
      <c r="F66" s="1" t="s">
        <v>86</v>
      </c>
      <c r="G66" s="4" t="s">
        <v>239</v>
      </c>
      <c r="H66" s="4" t="s">
        <v>240</v>
      </c>
    </row>
    <row r="67" spans="1:8" ht="409.6" x14ac:dyDescent="0.2">
      <c r="A67" s="1">
        <v>203023</v>
      </c>
      <c r="B67" s="1" t="s">
        <v>529</v>
      </c>
      <c r="C67" s="1" t="s">
        <v>107</v>
      </c>
      <c r="D67" s="1" t="s">
        <v>108</v>
      </c>
      <c r="E67" s="1" t="s">
        <v>232</v>
      </c>
      <c r="F67" s="1" t="s">
        <v>90</v>
      </c>
      <c r="G67" s="4" t="s">
        <v>241</v>
      </c>
      <c r="H67" s="1" t="s">
        <v>242</v>
      </c>
    </row>
    <row r="68" spans="1:8" ht="409.6" x14ac:dyDescent="0.2">
      <c r="A68" s="1">
        <v>203023</v>
      </c>
      <c r="B68" s="1" t="s">
        <v>529</v>
      </c>
      <c r="C68" s="1" t="s">
        <v>107</v>
      </c>
      <c r="D68" s="1" t="s">
        <v>108</v>
      </c>
      <c r="E68" s="1" t="s">
        <v>232</v>
      </c>
      <c r="F68" s="1" t="s">
        <v>70</v>
      </c>
      <c r="G68" s="4" t="s">
        <v>243</v>
      </c>
      <c r="H68" s="1" t="s">
        <v>244</v>
      </c>
    </row>
    <row r="69" spans="1:8" ht="64" x14ac:dyDescent="0.2">
      <c r="A69" s="1">
        <v>203023</v>
      </c>
      <c r="B69" s="1" t="s">
        <v>529</v>
      </c>
      <c r="C69" s="1" t="s">
        <v>107</v>
      </c>
      <c r="D69" s="1" t="s">
        <v>108</v>
      </c>
      <c r="E69" s="1" t="s">
        <v>232</v>
      </c>
      <c r="F69" s="1" t="s">
        <v>80</v>
      </c>
      <c r="G69" s="4" t="s">
        <v>245</v>
      </c>
    </row>
    <row r="70" spans="1:8" ht="409.6" x14ac:dyDescent="0.2">
      <c r="A70" s="1">
        <v>203023</v>
      </c>
      <c r="B70" s="1" t="s">
        <v>529</v>
      </c>
      <c r="C70" s="1" t="s">
        <v>107</v>
      </c>
      <c r="D70" s="1" t="s">
        <v>108</v>
      </c>
      <c r="E70" s="1" t="s">
        <v>232</v>
      </c>
      <c r="F70" s="1" t="s">
        <v>88</v>
      </c>
      <c r="G70" s="4" t="s">
        <v>246</v>
      </c>
      <c r="H70" s="4" t="s">
        <v>247</v>
      </c>
    </row>
    <row r="71" spans="1:8" ht="409.6" x14ac:dyDescent="0.2">
      <c r="A71" s="1">
        <v>203023</v>
      </c>
      <c r="B71" s="1" t="s">
        <v>529</v>
      </c>
      <c r="C71" s="1" t="s">
        <v>107</v>
      </c>
      <c r="D71" s="1" t="s">
        <v>108</v>
      </c>
      <c r="E71" s="1" t="s">
        <v>232</v>
      </c>
      <c r="F71" s="1" t="s">
        <v>69</v>
      </c>
      <c r="G71" s="4" t="s">
        <v>248</v>
      </c>
      <c r="H71" s="4" t="s">
        <v>249</v>
      </c>
    </row>
    <row r="72" spans="1:8" ht="409.6" x14ac:dyDescent="0.2">
      <c r="A72" s="1">
        <v>203023</v>
      </c>
      <c r="B72" s="1" t="s">
        <v>529</v>
      </c>
      <c r="C72" s="1" t="s">
        <v>107</v>
      </c>
      <c r="D72" s="1" t="s">
        <v>108</v>
      </c>
      <c r="E72" s="1" t="s">
        <v>232</v>
      </c>
      <c r="F72" s="1" t="s">
        <v>87</v>
      </c>
      <c r="G72" s="4" t="s">
        <v>250</v>
      </c>
      <c r="H72" s="1" t="s">
        <v>251</v>
      </c>
    </row>
    <row r="73" spans="1:8" ht="320" x14ac:dyDescent="0.2">
      <c r="A73" s="1">
        <v>203023</v>
      </c>
      <c r="B73" s="1" t="s">
        <v>529</v>
      </c>
      <c r="C73" s="1" t="s">
        <v>107</v>
      </c>
      <c r="D73" s="1" t="s">
        <v>108</v>
      </c>
      <c r="E73" s="1" t="s">
        <v>232</v>
      </c>
      <c r="F73" s="1" t="s">
        <v>110</v>
      </c>
      <c r="G73" s="4" t="s">
        <v>252</v>
      </c>
      <c r="H73" s="1" t="s">
        <v>253</v>
      </c>
    </row>
    <row r="74" spans="1:8" ht="395" x14ac:dyDescent="0.2">
      <c r="A74" s="1">
        <v>203023</v>
      </c>
      <c r="B74" s="1" t="s">
        <v>529</v>
      </c>
      <c r="C74" s="1" t="s">
        <v>107</v>
      </c>
      <c r="D74" s="1" t="s">
        <v>108</v>
      </c>
      <c r="E74" s="1" t="s">
        <v>232</v>
      </c>
      <c r="F74" s="1" t="s">
        <v>84</v>
      </c>
      <c r="G74" s="4" t="s">
        <v>254</v>
      </c>
      <c r="H74" s="4" t="s">
        <v>255</v>
      </c>
    </row>
    <row r="75" spans="1:8" ht="409.6" x14ac:dyDescent="0.2">
      <c r="A75" s="1">
        <v>203023</v>
      </c>
      <c r="B75" s="1" t="s">
        <v>529</v>
      </c>
      <c r="C75" s="1" t="s">
        <v>107</v>
      </c>
      <c r="D75" s="1" t="s">
        <v>108</v>
      </c>
      <c r="E75" s="1" t="s">
        <v>232</v>
      </c>
      <c r="F75" s="1" t="s">
        <v>72</v>
      </c>
      <c r="G75" s="4" t="s">
        <v>256</v>
      </c>
      <c r="H75" s="1" t="s">
        <v>257</v>
      </c>
    </row>
    <row r="76" spans="1:8" ht="224" x14ac:dyDescent="0.2">
      <c r="A76" s="1">
        <v>203023</v>
      </c>
      <c r="B76" s="1" t="s">
        <v>529</v>
      </c>
      <c r="C76" s="1" t="s">
        <v>107</v>
      </c>
      <c r="D76" s="1" t="s">
        <v>108</v>
      </c>
      <c r="E76" s="1" t="s">
        <v>232</v>
      </c>
      <c r="F76" s="4" t="s">
        <v>111</v>
      </c>
      <c r="G76" s="4" t="s">
        <v>258</v>
      </c>
      <c r="H76" s="4"/>
    </row>
    <row r="77" spans="1:8" ht="335" x14ac:dyDescent="0.2">
      <c r="A77" s="1">
        <v>203023</v>
      </c>
      <c r="B77" s="1" t="s">
        <v>529</v>
      </c>
      <c r="C77" s="1" t="s">
        <v>107</v>
      </c>
      <c r="D77" s="1" t="s">
        <v>108</v>
      </c>
      <c r="E77" s="1" t="s">
        <v>232</v>
      </c>
      <c r="F77" s="4" t="s">
        <v>100</v>
      </c>
      <c r="G77" s="4" t="s">
        <v>259</v>
      </c>
      <c r="H77" s="4"/>
    </row>
    <row r="78" spans="1:8" ht="192" x14ac:dyDescent="0.2">
      <c r="A78" s="1">
        <v>203023</v>
      </c>
      <c r="B78" s="1" t="s">
        <v>529</v>
      </c>
      <c r="C78" s="1" t="s">
        <v>107</v>
      </c>
      <c r="D78" s="1" t="s">
        <v>108</v>
      </c>
      <c r="E78" s="1" t="s">
        <v>232</v>
      </c>
      <c r="F78" s="4" t="s">
        <v>102</v>
      </c>
      <c r="G78" s="4" t="s">
        <v>260</v>
      </c>
      <c r="H78" s="4" t="s">
        <v>261</v>
      </c>
    </row>
    <row r="79" spans="1:8" ht="409.6" x14ac:dyDescent="0.2">
      <c r="A79" s="1">
        <v>203023</v>
      </c>
      <c r="B79" s="1" t="s">
        <v>529</v>
      </c>
      <c r="C79" s="1" t="s">
        <v>107</v>
      </c>
      <c r="D79" s="1" t="s">
        <v>108</v>
      </c>
      <c r="E79" s="1" t="s">
        <v>232</v>
      </c>
      <c r="F79" s="4" t="s">
        <v>95</v>
      </c>
      <c r="G79" s="4" t="s">
        <v>262</v>
      </c>
      <c r="H79" s="4" t="s">
        <v>263</v>
      </c>
    </row>
    <row r="80" spans="1:8" ht="409.6" x14ac:dyDescent="0.2">
      <c r="A80" s="1">
        <v>203023</v>
      </c>
      <c r="B80" s="1" t="s">
        <v>529</v>
      </c>
      <c r="C80" s="1" t="s">
        <v>107</v>
      </c>
      <c r="D80" s="1" t="s">
        <v>108</v>
      </c>
      <c r="E80" s="1" t="s">
        <v>232</v>
      </c>
      <c r="F80" s="1" t="s">
        <v>101</v>
      </c>
      <c r="G80" s="4" t="s">
        <v>264</v>
      </c>
      <c r="H80" s="4"/>
    </row>
    <row r="81" spans="1:8" ht="409.6" x14ac:dyDescent="0.2">
      <c r="A81" s="1">
        <v>203023</v>
      </c>
      <c r="B81" s="1" t="s">
        <v>529</v>
      </c>
      <c r="C81" s="1" t="s">
        <v>107</v>
      </c>
      <c r="D81" s="1" t="s">
        <v>108</v>
      </c>
      <c r="E81" s="1" t="s">
        <v>232</v>
      </c>
      <c r="F81" s="1" t="s">
        <v>112</v>
      </c>
      <c r="G81" s="4" t="s">
        <v>265</v>
      </c>
      <c r="H81" s="1" t="s">
        <v>266</v>
      </c>
    </row>
    <row r="82" spans="1:8" ht="409.6" x14ac:dyDescent="0.2">
      <c r="A82" s="1">
        <v>203023</v>
      </c>
      <c r="B82" s="1" t="s">
        <v>529</v>
      </c>
      <c r="C82" s="1" t="s">
        <v>107</v>
      </c>
      <c r="D82" s="1" t="s">
        <v>108</v>
      </c>
      <c r="E82" s="1" t="s">
        <v>232</v>
      </c>
      <c r="F82" s="1" t="s">
        <v>71</v>
      </c>
      <c r="G82" s="4" t="s">
        <v>267</v>
      </c>
      <c r="H82" s="1" t="s">
        <v>268</v>
      </c>
    </row>
    <row r="83" spans="1:8" x14ac:dyDescent="0.2">
      <c r="A83" s="1">
        <v>203023</v>
      </c>
      <c r="B83" s="1" t="s">
        <v>529</v>
      </c>
      <c r="C83" s="1" t="s">
        <v>118</v>
      </c>
      <c r="D83" s="1" t="s">
        <v>119</v>
      </c>
      <c r="E83" s="1" t="s">
        <v>120</v>
      </c>
      <c r="F83" s="1" t="s">
        <v>75</v>
      </c>
      <c r="G83" s="1" t="s">
        <v>76</v>
      </c>
      <c r="H83" s="1" t="s">
        <v>76</v>
      </c>
    </row>
    <row r="84" spans="1:8" ht="16" x14ac:dyDescent="0.2">
      <c r="A84" s="1">
        <v>203023</v>
      </c>
      <c r="B84" s="1" t="s">
        <v>529</v>
      </c>
      <c r="C84" s="1" t="s">
        <v>104</v>
      </c>
      <c r="D84" s="1" t="s">
        <v>105</v>
      </c>
      <c r="E84" s="1" t="s">
        <v>83</v>
      </c>
      <c r="F84" s="4" t="s">
        <v>75</v>
      </c>
      <c r="G84" s="4" t="s">
        <v>106</v>
      </c>
      <c r="H84" s="4" t="s">
        <v>106</v>
      </c>
    </row>
    <row r="85" spans="1:8" ht="112" x14ac:dyDescent="0.2">
      <c r="A85" s="1">
        <v>203023</v>
      </c>
      <c r="B85" s="1" t="s">
        <v>529</v>
      </c>
      <c r="C85" s="1" t="s">
        <v>96</v>
      </c>
      <c r="D85" s="1" t="s">
        <v>97</v>
      </c>
      <c r="E85" s="1" t="s">
        <v>98</v>
      </c>
      <c r="F85" s="4" t="s">
        <v>86</v>
      </c>
      <c r="G85" s="4" t="s">
        <v>281</v>
      </c>
      <c r="H85" s="4" t="s">
        <v>282</v>
      </c>
    </row>
    <row r="86" spans="1:8" ht="160" x14ac:dyDescent="0.2">
      <c r="A86" s="1">
        <v>203023</v>
      </c>
      <c r="B86" s="1" t="s">
        <v>529</v>
      </c>
      <c r="C86" s="1" t="s">
        <v>96</v>
      </c>
      <c r="D86" s="1" t="s">
        <v>97</v>
      </c>
      <c r="E86" s="1" t="s">
        <v>98</v>
      </c>
      <c r="F86" s="4" t="s">
        <v>90</v>
      </c>
      <c r="G86" s="1" t="s">
        <v>281</v>
      </c>
      <c r="H86" s="4" t="s">
        <v>283</v>
      </c>
    </row>
    <row r="87" spans="1:8" ht="96" x14ac:dyDescent="0.2">
      <c r="A87" s="1">
        <v>203023</v>
      </c>
      <c r="B87" s="1" t="s">
        <v>529</v>
      </c>
      <c r="C87" s="1" t="s">
        <v>96</v>
      </c>
      <c r="D87" s="1" t="s">
        <v>97</v>
      </c>
      <c r="E87" s="1" t="s">
        <v>98</v>
      </c>
      <c r="F87" s="4" t="s">
        <v>69</v>
      </c>
      <c r="G87" s="4" t="s">
        <v>281</v>
      </c>
      <c r="H87" s="4" t="s">
        <v>284</v>
      </c>
    </row>
    <row r="88" spans="1:8" ht="96" x14ac:dyDescent="0.2">
      <c r="A88" s="1">
        <v>203023</v>
      </c>
      <c r="B88" s="1" t="s">
        <v>529</v>
      </c>
      <c r="C88" s="1" t="s">
        <v>96</v>
      </c>
      <c r="D88" s="1" t="s">
        <v>97</v>
      </c>
      <c r="E88" s="1" t="s">
        <v>98</v>
      </c>
      <c r="F88" s="4" t="s">
        <v>100</v>
      </c>
      <c r="G88" s="4" t="s">
        <v>285</v>
      </c>
      <c r="H88" s="4"/>
    </row>
    <row r="89" spans="1:8" ht="112" x14ac:dyDescent="0.2">
      <c r="A89" s="1">
        <v>203023</v>
      </c>
      <c r="B89" s="1" t="s">
        <v>529</v>
      </c>
      <c r="C89" s="1" t="s">
        <v>96</v>
      </c>
      <c r="D89" s="1" t="s">
        <v>97</v>
      </c>
      <c r="E89" s="1" t="s">
        <v>98</v>
      </c>
      <c r="F89" s="4" t="s">
        <v>100</v>
      </c>
      <c r="G89" s="4" t="s">
        <v>286</v>
      </c>
    </row>
    <row r="90" spans="1:8" x14ac:dyDescent="0.2">
      <c r="A90" s="1">
        <v>203023</v>
      </c>
      <c r="B90" s="1" t="s">
        <v>529</v>
      </c>
      <c r="C90" s="1" t="s">
        <v>96</v>
      </c>
      <c r="D90" s="1" t="s">
        <v>97</v>
      </c>
      <c r="E90" s="1" t="s">
        <v>98</v>
      </c>
      <c r="F90" s="1" t="s">
        <v>75</v>
      </c>
      <c r="G90" s="1" t="s">
        <v>287</v>
      </c>
      <c r="H90" s="1" t="s">
        <v>288</v>
      </c>
    </row>
    <row r="91" spans="1:8" x14ac:dyDescent="0.2">
      <c r="A91" s="1">
        <v>203023</v>
      </c>
      <c r="B91" s="1" t="s">
        <v>529</v>
      </c>
      <c r="C91" s="1" t="s">
        <v>96</v>
      </c>
      <c r="D91" s="1" t="s">
        <v>97</v>
      </c>
      <c r="E91" s="1" t="s">
        <v>98</v>
      </c>
      <c r="F91" s="1" t="s">
        <v>90</v>
      </c>
      <c r="G91" s="1" t="s">
        <v>289</v>
      </c>
      <c r="H91" s="1" t="s">
        <v>290</v>
      </c>
    </row>
    <row r="92" spans="1:8" x14ac:dyDescent="0.2">
      <c r="A92" s="1">
        <v>203023</v>
      </c>
      <c r="B92" s="1" t="s">
        <v>529</v>
      </c>
      <c r="C92" s="1" t="s">
        <v>96</v>
      </c>
      <c r="D92" s="1" t="s">
        <v>97</v>
      </c>
      <c r="E92" s="1" t="s">
        <v>98</v>
      </c>
      <c r="F92" s="1" t="s">
        <v>80</v>
      </c>
      <c r="G92" s="1" t="s">
        <v>291</v>
      </c>
      <c r="H92" s="1" t="s">
        <v>292</v>
      </c>
    </row>
    <row r="93" spans="1:8" x14ac:dyDescent="0.2">
      <c r="A93" s="1">
        <v>203023</v>
      </c>
      <c r="B93" s="1" t="s">
        <v>529</v>
      </c>
      <c r="C93" s="1" t="s">
        <v>96</v>
      </c>
      <c r="D93" s="1" t="s">
        <v>97</v>
      </c>
      <c r="E93" s="1" t="s">
        <v>98</v>
      </c>
      <c r="F93" s="1" t="s">
        <v>93</v>
      </c>
      <c r="G93" s="1" t="s">
        <v>293</v>
      </c>
      <c r="H93" s="1" t="s">
        <v>294</v>
      </c>
    </row>
    <row r="94" spans="1:8" x14ac:dyDescent="0.2">
      <c r="A94" s="1">
        <v>203023</v>
      </c>
      <c r="B94" s="1" t="s">
        <v>529</v>
      </c>
      <c r="C94" s="1" t="s">
        <v>96</v>
      </c>
      <c r="D94" s="1" t="s">
        <v>97</v>
      </c>
      <c r="E94" s="1" t="s">
        <v>98</v>
      </c>
      <c r="F94" s="1" t="s">
        <v>69</v>
      </c>
      <c r="G94" s="1" t="s">
        <v>295</v>
      </c>
      <c r="H94" s="1" t="s">
        <v>296</v>
      </c>
    </row>
    <row r="95" spans="1:8" x14ac:dyDescent="0.2">
      <c r="A95" s="1">
        <v>203023</v>
      </c>
      <c r="B95" s="1" t="s">
        <v>529</v>
      </c>
      <c r="C95" s="1" t="s">
        <v>96</v>
      </c>
      <c r="D95" s="1" t="s">
        <v>97</v>
      </c>
      <c r="E95" s="1" t="s">
        <v>98</v>
      </c>
      <c r="F95" s="1" t="s">
        <v>87</v>
      </c>
      <c r="G95" s="1" t="s">
        <v>297</v>
      </c>
      <c r="H95" s="1" t="s">
        <v>298</v>
      </c>
    </row>
    <row r="96" spans="1:8" x14ac:dyDescent="0.2">
      <c r="A96" s="1">
        <v>203023</v>
      </c>
      <c r="B96" s="1" t="s">
        <v>529</v>
      </c>
      <c r="C96" s="1" t="s">
        <v>96</v>
      </c>
      <c r="D96" s="1" t="s">
        <v>97</v>
      </c>
      <c r="E96" s="1" t="s">
        <v>98</v>
      </c>
      <c r="F96" s="1" t="s">
        <v>101</v>
      </c>
      <c r="G96" s="1" t="s">
        <v>293</v>
      </c>
      <c r="H96" s="1" t="s">
        <v>299</v>
      </c>
    </row>
    <row r="97" spans="1:8" x14ac:dyDescent="0.2">
      <c r="A97" s="1">
        <v>203023</v>
      </c>
      <c r="B97" s="1" t="s">
        <v>529</v>
      </c>
      <c r="C97" s="1" t="s">
        <v>96</v>
      </c>
      <c r="D97" s="1" t="s">
        <v>97</v>
      </c>
      <c r="E97" s="1" t="s">
        <v>98</v>
      </c>
      <c r="F97" s="1" t="s">
        <v>101</v>
      </c>
      <c r="G97" s="1" t="s">
        <v>300</v>
      </c>
      <c r="H97" s="1" t="s">
        <v>301</v>
      </c>
    </row>
    <row r="98" spans="1:8" x14ac:dyDescent="0.2">
      <c r="A98" s="1">
        <v>203023</v>
      </c>
      <c r="B98" s="1" t="s">
        <v>529</v>
      </c>
      <c r="C98" s="1" t="s">
        <v>73</v>
      </c>
      <c r="D98" s="1" t="s">
        <v>74</v>
      </c>
      <c r="E98" s="1" t="s">
        <v>302</v>
      </c>
      <c r="F98" s="1" t="s">
        <v>75</v>
      </c>
      <c r="G98" s="1" t="s">
        <v>319</v>
      </c>
      <c r="H98" s="1" t="s">
        <v>76</v>
      </c>
    </row>
    <row r="99" spans="1:8" ht="16" x14ac:dyDescent="0.2">
      <c r="A99" s="1">
        <v>203023</v>
      </c>
      <c r="B99" s="1" t="s">
        <v>529</v>
      </c>
      <c r="C99" s="1" t="s">
        <v>73</v>
      </c>
      <c r="D99" s="1" t="s">
        <v>74</v>
      </c>
      <c r="E99" s="1" t="s">
        <v>302</v>
      </c>
      <c r="F99" s="4" t="s">
        <v>75</v>
      </c>
      <c r="G99" s="1" t="s">
        <v>320</v>
      </c>
      <c r="H99" s="1" t="s">
        <v>76</v>
      </c>
    </row>
    <row r="100" spans="1:8" x14ac:dyDescent="0.2">
      <c r="A100" s="1">
        <v>203023</v>
      </c>
      <c r="B100" s="1" t="s">
        <v>529</v>
      </c>
      <c r="C100" s="1" t="s">
        <v>73</v>
      </c>
      <c r="D100" s="1" t="s">
        <v>74</v>
      </c>
      <c r="E100" s="1" t="s">
        <v>302</v>
      </c>
      <c r="F100" s="1" t="s">
        <v>75</v>
      </c>
      <c r="G100" s="1" t="s">
        <v>321</v>
      </c>
      <c r="H100" s="1" t="s">
        <v>76</v>
      </c>
    </row>
    <row r="101" spans="1:8" x14ac:dyDescent="0.2">
      <c r="A101" s="1">
        <v>203023</v>
      </c>
      <c r="B101" s="1" t="s">
        <v>529</v>
      </c>
      <c r="C101" s="1" t="s">
        <v>73</v>
      </c>
      <c r="D101" s="1" t="s">
        <v>74</v>
      </c>
      <c r="E101" s="1" t="s">
        <v>302</v>
      </c>
      <c r="F101" s="1" t="s">
        <v>75</v>
      </c>
      <c r="G101" s="1" t="s">
        <v>76</v>
      </c>
      <c r="H101" s="1" t="s">
        <v>76</v>
      </c>
    </row>
    <row r="102" spans="1:8" x14ac:dyDescent="0.2">
      <c r="A102" s="1">
        <v>203023</v>
      </c>
      <c r="B102" s="1" t="s">
        <v>529</v>
      </c>
      <c r="C102" s="1" t="s">
        <v>122</v>
      </c>
      <c r="D102" s="1" t="s">
        <v>322</v>
      </c>
      <c r="E102" s="1" t="s">
        <v>83</v>
      </c>
      <c r="F102" s="1" t="s">
        <v>69</v>
      </c>
      <c r="G102" s="1" t="s">
        <v>76</v>
      </c>
      <c r="H102" s="1" t="s">
        <v>76</v>
      </c>
    </row>
    <row r="103" spans="1:8" x14ac:dyDescent="0.2">
      <c r="A103" s="1">
        <v>203023</v>
      </c>
      <c r="B103" s="1" t="s">
        <v>529</v>
      </c>
      <c r="C103" s="1" t="s">
        <v>115</v>
      </c>
      <c r="D103" s="1" t="s">
        <v>116</v>
      </c>
      <c r="E103" s="1" t="s">
        <v>117</v>
      </c>
      <c r="F103" s="1" t="s">
        <v>69</v>
      </c>
      <c r="G103" s="1" t="s">
        <v>352</v>
      </c>
      <c r="H103" s="1" t="s">
        <v>353</v>
      </c>
    </row>
    <row r="104" spans="1:8" x14ac:dyDescent="0.2">
      <c r="A104" s="1">
        <v>203023</v>
      </c>
      <c r="B104" s="1" t="s">
        <v>529</v>
      </c>
      <c r="C104" s="1" t="s">
        <v>115</v>
      </c>
      <c r="D104" s="1" t="s">
        <v>116</v>
      </c>
      <c r="E104" s="1" t="s">
        <v>117</v>
      </c>
      <c r="F104" s="1" t="s">
        <v>69</v>
      </c>
      <c r="G104" s="1" t="s">
        <v>354</v>
      </c>
      <c r="H104" s="1" t="s">
        <v>355</v>
      </c>
    </row>
    <row r="105" spans="1:8" ht="144" x14ac:dyDescent="0.2">
      <c r="A105" s="1">
        <v>203023</v>
      </c>
      <c r="B105" s="1" t="s">
        <v>529</v>
      </c>
      <c r="C105" s="1" t="s">
        <v>127</v>
      </c>
      <c r="D105" s="1" t="s">
        <v>128</v>
      </c>
      <c r="E105" s="1" t="s">
        <v>129</v>
      </c>
      <c r="F105" s="4" t="s">
        <v>71</v>
      </c>
      <c r="G105" s="1" t="s">
        <v>375</v>
      </c>
      <c r="H105" s="4" t="s">
        <v>376</v>
      </c>
    </row>
    <row r="106" spans="1:8" ht="128" x14ac:dyDescent="0.2">
      <c r="A106" s="1">
        <v>203023</v>
      </c>
      <c r="B106" s="1" t="s">
        <v>529</v>
      </c>
      <c r="C106" s="1" t="s">
        <v>127</v>
      </c>
      <c r="D106" s="1" t="s">
        <v>128</v>
      </c>
      <c r="E106" s="1" t="s">
        <v>129</v>
      </c>
      <c r="F106" s="4" t="s">
        <v>71</v>
      </c>
      <c r="G106" s="4" t="s">
        <v>377</v>
      </c>
      <c r="H106" s="1" t="s">
        <v>378</v>
      </c>
    </row>
    <row r="107" spans="1:8" ht="96" x14ac:dyDescent="0.2">
      <c r="A107" s="1">
        <v>203023</v>
      </c>
      <c r="B107" s="1" t="s">
        <v>529</v>
      </c>
      <c r="C107" s="1" t="s">
        <v>127</v>
      </c>
      <c r="D107" s="1" t="s">
        <v>128</v>
      </c>
      <c r="E107" s="1" t="s">
        <v>129</v>
      </c>
      <c r="F107" s="4" t="s">
        <v>101</v>
      </c>
      <c r="G107" s="4" t="s">
        <v>379</v>
      </c>
    </row>
    <row r="108" spans="1:8" ht="112" x14ac:dyDescent="0.2">
      <c r="A108" s="1">
        <v>203023</v>
      </c>
      <c r="B108" s="1" t="s">
        <v>529</v>
      </c>
      <c r="C108" s="1" t="s">
        <v>113</v>
      </c>
      <c r="D108" s="1" t="s">
        <v>114</v>
      </c>
      <c r="E108" s="1" t="s">
        <v>83</v>
      </c>
      <c r="F108" s="4" t="s">
        <v>95</v>
      </c>
      <c r="G108" s="4" t="s">
        <v>393</v>
      </c>
      <c r="H108" s="1" t="s">
        <v>394</v>
      </c>
    </row>
    <row r="109" spans="1:8" ht="160" x14ac:dyDescent="0.2">
      <c r="A109" s="1">
        <v>203023</v>
      </c>
      <c r="B109" s="1" t="s">
        <v>529</v>
      </c>
      <c r="C109" s="1" t="s">
        <v>113</v>
      </c>
      <c r="D109" s="1" t="s">
        <v>114</v>
      </c>
      <c r="E109" s="1" t="s">
        <v>83</v>
      </c>
      <c r="F109" s="4" t="s">
        <v>70</v>
      </c>
      <c r="G109" s="4" t="s">
        <v>395</v>
      </c>
      <c r="H109" s="1" t="s">
        <v>396</v>
      </c>
    </row>
    <row r="110" spans="1:8" ht="16" x14ac:dyDescent="0.2">
      <c r="A110" s="1">
        <v>203023</v>
      </c>
      <c r="B110" s="1" t="s">
        <v>529</v>
      </c>
      <c r="C110" s="1" t="s">
        <v>113</v>
      </c>
      <c r="D110" s="1" t="s">
        <v>114</v>
      </c>
      <c r="E110" s="1" t="s">
        <v>83</v>
      </c>
      <c r="F110" s="4" t="s">
        <v>80</v>
      </c>
      <c r="G110" s="1" t="s">
        <v>397</v>
      </c>
      <c r="H110" s="1" t="s">
        <v>398</v>
      </c>
    </row>
    <row r="111" spans="1:8" ht="16" x14ac:dyDescent="0.2">
      <c r="A111" s="1">
        <v>203023</v>
      </c>
      <c r="B111" s="1" t="s">
        <v>529</v>
      </c>
      <c r="C111" s="1" t="s">
        <v>113</v>
      </c>
      <c r="D111" s="1" t="s">
        <v>114</v>
      </c>
      <c r="E111" s="1" t="s">
        <v>83</v>
      </c>
      <c r="F111" s="4" t="s">
        <v>101</v>
      </c>
      <c r="G111" s="1" t="s">
        <v>399</v>
      </c>
      <c r="H111" s="1" t="s">
        <v>400</v>
      </c>
    </row>
    <row r="112" spans="1:8" ht="16" x14ac:dyDescent="0.2">
      <c r="A112" s="1">
        <v>203023</v>
      </c>
      <c r="B112" s="1" t="s">
        <v>529</v>
      </c>
      <c r="C112" s="1" t="s">
        <v>103</v>
      </c>
      <c r="D112" s="1" t="s">
        <v>401</v>
      </c>
      <c r="E112" s="1" t="s">
        <v>402</v>
      </c>
      <c r="F112" s="4" t="s">
        <v>87</v>
      </c>
      <c r="G112" s="4" t="s">
        <v>76</v>
      </c>
      <c r="H112" s="1" t="s">
        <v>76</v>
      </c>
    </row>
    <row r="113" spans="1:8" ht="409.6" x14ac:dyDescent="0.2">
      <c r="A113" s="1">
        <v>203023</v>
      </c>
      <c r="B113" s="1" t="s">
        <v>529</v>
      </c>
      <c r="C113" s="1" t="s">
        <v>133</v>
      </c>
      <c r="D113" s="1" t="s">
        <v>134</v>
      </c>
      <c r="E113" s="1" t="s">
        <v>135</v>
      </c>
      <c r="F113" s="4" t="s">
        <v>69</v>
      </c>
      <c r="G113" s="4" t="s">
        <v>434</v>
      </c>
      <c r="H113" s="1" t="s">
        <v>136</v>
      </c>
    </row>
    <row r="114" spans="1:8" ht="16" x14ac:dyDescent="0.2">
      <c r="A114" s="1">
        <v>203023</v>
      </c>
      <c r="B114" s="1" t="s">
        <v>529</v>
      </c>
      <c r="C114" s="1" t="s">
        <v>139</v>
      </c>
      <c r="D114" s="1" t="s">
        <v>435</v>
      </c>
      <c r="E114" s="1" t="s">
        <v>140</v>
      </c>
      <c r="F114" s="4" t="s">
        <v>71</v>
      </c>
      <c r="G114" s="1" t="s">
        <v>450</v>
      </c>
      <c r="H114" s="1" t="s">
        <v>141</v>
      </c>
    </row>
    <row r="115" spans="1:8" ht="64" x14ac:dyDescent="0.2">
      <c r="A115" s="1">
        <v>203023</v>
      </c>
      <c r="B115" s="1" t="s">
        <v>529</v>
      </c>
      <c r="C115" s="1" t="s">
        <v>139</v>
      </c>
      <c r="D115" s="1" t="s">
        <v>435</v>
      </c>
      <c r="E115" s="1" t="s">
        <v>140</v>
      </c>
      <c r="F115" s="4" t="s">
        <v>100</v>
      </c>
      <c r="G115" s="4" t="s">
        <v>451</v>
      </c>
      <c r="H115" s="1" t="s">
        <v>452</v>
      </c>
    </row>
    <row r="116" spans="1:8" ht="128" x14ac:dyDescent="0.2">
      <c r="A116" s="1">
        <v>203023</v>
      </c>
      <c r="B116" s="1" t="s">
        <v>529</v>
      </c>
      <c r="C116" s="1" t="s">
        <v>139</v>
      </c>
      <c r="D116" s="1" t="s">
        <v>435</v>
      </c>
      <c r="E116" s="1" t="s">
        <v>140</v>
      </c>
      <c r="F116" s="4" t="s">
        <v>72</v>
      </c>
      <c r="G116" s="4" t="s">
        <v>453</v>
      </c>
      <c r="H116" s="4" t="s">
        <v>454</v>
      </c>
    </row>
    <row r="117" spans="1:8" ht="16" x14ac:dyDescent="0.2">
      <c r="A117" s="1">
        <v>203023</v>
      </c>
      <c r="B117" s="1" t="s">
        <v>529</v>
      </c>
      <c r="C117" s="1" t="s">
        <v>139</v>
      </c>
      <c r="D117" s="1" t="s">
        <v>435</v>
      </c>
      <c r="E117" s="1" t="s">
        <v>140</v>
      </c>
      <c r="F117" s="4" t="s">
        <v>75</v>
      </c>
      <c r="G117" s="1" t="s">
        <v>455</v>
      </c>
      <c r="H117" s="1" t="s">
        <v>141</v>
      </c>
    </row>
    <row r="118" spans="1:8" ht="16" x14ac:dyDescent="0.2">
      <c r="A118" s="1">
        <v>203023</v>
      </c>
      <c r="B118" s="1" t="s">
        <v>529</v>
      </c>
      <c r="C118" s="1" t="s">
        <v>139</v>
      </c>
      <c r="D118" s="1" t="s">
        <v>435</v>
      </c>
      <c r="E118" s="1" t="s">
        <v>140</v>
      </c>
      <c r="F118" s="4" t="s">
        <v>69</v>
      </c>
      <c r="G118" s="1" t="s">
        <v>456</v>
      </c>
      <c r="H118" s="1" t="s">
        <v>141</v>
      </c>
    </row>
    <row r="119" spans="1:8" ht="16" x14ac:dyDescent="0.2">
      <c r="A119" s="1">
        <v>203023</v>
      </c>
      <c r="B119" s="1" t="s">
        <v>529</v>
      </c>
      <c r="C119" s="1" t="s">
        <v>139</v>
      </c>
      <c r="D119" s="1" t="s">
        <v>435</v>
      </c>
      <c r="E119" s="1" t="s">
        <v>140</v>
      </c>
      <c r="F119" s="1" t="s">
        <v>90</v>
      </c>
      <c r="G119" s="1" t="s">
        <v>457</v>
      </c>
      <c r="H119" s="4" t="s">
        <v>141</v>
      </c>
    </row>
    <row r="120" spans="1:8" ht="160" x14ac:dyDescent="0.2">
      <c r="A120" s="1">
        <v>203023</v>
      </c>
      <c r="B120" s="1" t="s">
        <v>529</v>
      </c>
      <c r="C120" s="1" t="s">
        <v>139</v>
      </c>
      <c r="D120" s="1" t="s">
        <v>435</v>
      </c>
      <c r="E120" s="1" t="s">
        <v>140</v>
      </c>
      <c r="F120" s="1" t="s">
        <v>72</v>
      </c>
      <c r="G120" s="4" t="s">
        <v>458</v>
      </c>
      <c r="H120" s="1" t="s">
        <v>141</v>
      </c>
    </row>
    <row r="121" spans="1:8" ht="144" x14ac:dyDescent="0.2">
      <c r="A121" s="1">
        <v>203023</v>
      </c>
      <c r="B121" s="1" t="s">
        <v>529</v>
      </c>
      <c r="C121" s="1" t="s">
        <v>139</v>
      </c>
      <c r="D121" s="1" t="s">
        <v>435</v>
      </c>
      <c r="E121" s="1" t="s">
        <v>140</v>
      </c>
      <c r="F121" s="1" t="s">
        <v>111</v>
      </c>
      <c r="G121" s="4" t="s">
        <v>459</v>
      </c>
      <c r="H121" s="1" t="s">
        <v>141</v>
      </c>
    </row>
    <row r="122" spans="1:8" ht="256" x14ac:dyDescent="0.2">
      <c r="A122" s="1">
        <v>203023</v>
      </c>
      <c r="B122" s="1" t="s">
        <v>529</v>
      </c>
      <c r="C122" s="1" t="s">
        <v>139</v>
      </c>
      <c r="D122" s="1" t="s">
        <v>435</v>
      </c>
      <c r="E122" s="1" t="s">
        <v>140</v>
      </c>
      <c r="F122" s="1" t="s">
        <v>100</v>
      </c>
      <c r="G122" s="4" t="s">
        <v>460</v>
      </c>
      <c r="H122" s="1" t="s">
        <v>141</v>
      </c>
    </row>
    <row r="123" spans="1:8" ht="208" x14ac:dyDescent="0.2">
      <c r="A123" s="1">
        <v>203023</v>
      </c>
      <c r="B123" s="1" t="s">
        <v>529</v>
      </c>
      <c r="C123" s="1" t="s">
        <v>139</v>
      </c>
      <c r="D123" s="1" t="s">
        <v>435</v>
      </c>
      <c r="E123" s="1" t="s">
        <v>140</v>
      </c>
      <c r="F123" s="1" t="s">
        <v>90</v>
      </c>
      <c r="G123" s="4" t="s">
        <v>461</v>
      </c>
      <c r="H123" s="1" t="s">
        <v>462</v>
      </c>
    </row>
    <row r="124" spans="1:8" ht="256" x14ac:dyDescent="0.2">
      <c r="A124" s="1">
        <v>203023</v>
      </c>
      <c r="B124" s="1" t="s">
        <v>529</v>
      </c>
      <c r="C124" s="1" t="s">
        <v>139</v>
      </c>
      <c r="D124" s="1" t="s">
        <v>435</v>
      </c>
      <c r="E124" s="1" t="s">
        <v>140</v>
      </c>
      <c r="F124" s="1" t="s">
        <v>80</v>
      </c>
      <c r="G124" s="4" t="s">
        <v>463</v>
      </c>
      <c r="H124" s="1" t="s">
        <v>464</v>
      </c>
    </row>
    <row r="125" spans="1:8" ht="192" x14ac:dyDescent="0.2">
      <c r="A125" s="1">
        <v>203023</v>
      </c>
      <c r="B125" s="1" t="s">
        <v>529</v>
      </c>
      <c r="C125" s="1" t="s">
        <v>139</v>
      </c>
      <c r="D125" s="1" t="s">
        <v>435</v>
      </c>
      <c r="E125" s="1" t="s">
        <v>140</v>
      </c>
      <c r="F125" s="1" t="s">
        <v>95</v>
      </c>
      <c r="G125" s="4" t="s">
        <v>465</v>
      </c>
      <c r="H125" s="1" t="s">
        <v>466</v>
      </c>
    </row>
    <row r="126" spans="1:8" ht="224" x14ac:dyDescent="0.2">
      <c r="A126" s="1">
        <v>203023</v>
      </c>
      <c r="B126" s="1" t="s">
        <v>529</v>
      </c>
      <c r="C126" s="1" t="s">
        <v>139</v>
      </c>
      <c r="D126" s="1" t="s">
        <v>435</v>
      </c>
      <c r="E126" s="1" t="s">
        <v>140</v>
      </c>
      <c r="F126" s="1" t="s">
        <v>88</v>
      </c>
      <c r="G126" s="4" t="s">
        <v>467</v>
      </c>
      <c r="H126" s="1" t="s">
        <v>468</v>
      </c>
    </row>
    <row r="127" spans="1:8" ht="80" x14ac:dyDescent="0.2">
      <c r="A127" s="1">
        <v>203023</v>
      </c>
      <c r="B127" s="1" t="s">
        <v>529</v>
      </c>
      <c r="C127" s="1" t="s">
        <v>139</v>
      </c>
      <c r="D127" s="1" t="s">
        <v>435</v>
      </c>
      <c r="E127" s="1" t="s">
        <v>140</v>
      </c>
      <c r="F127" s="1" t="s">
        <v>100</v>
      </c>
      <c r="G127" s="4" t="s">
        <v>469</v>
      </c>
      <c r="H127" s="1" t="s">
        <v>470</v>
      </c>
    </row>
    <row r="128" spans="1:8" ht="144" x14ac:dyDescent="0.2">
      <c r="A128" s="1">
        <v>203023</v>
      </c>
      <c r="B128" s="1" t="s">
        <v>529</v>
      </c>
      <c r="C128" s="1" t="s">
        <v>139</v>
      </c>
      <c r="D128" s="1" t="s">
        <v>435</v>
      </c>
      <c r="E128" s="1" t="s">
        <v>140</v>
      </c>
      <c r="F128" s="1" t="s">
        <v>102</v>
      </c>
      <c r="G128" s="4" t="s">
        <v>471</v>
      </c>
      <c r="H128" s="1" t="s">
        <v>472</v>
      </c>
    </row>
    <row r="129" spans="1:8" x14ac:dyDescent="0.2">
      <c r="A129" s="1">
        <v>203023</v>
      </c>
      <c r="B129" s="1" t="s">
        <v>529</v>
      </c>
      <c r="C129" s="1" t="s">
        <v>123</v>
      </c>
      <c r="D129" s="1" t="s">
        <v>473</v>
      </c>
      <c r="E129" s="1" t="s">
        <v>474</v>
      </c>
      <c r="F129" s="1" t="s">
        <v>75</v>
      </c>
      <c r="G129" s="1" t="s">
        <v>487</v>
      </c>
      <c r="H129" s="1" t="s">
        <v>488</v>
      </c>
    </row>
    <row r="130" spans="1:8" x14ac:dyDescent="0.2">
      <c r="A130" s="1">
        <v>203023</v>
      </c>
      <c r="B130" s="1" t="s">
        <v>529</v>
      </c>
      <c r="C130" s="1" t="s">
        <v>123</v>
      </c>
      <c r="D130" s="1" t="s">
        <v>473</v>
      </c>
      <c r="E130" s="1" t="s">
        <v>474</v>
      </c>
      <c r="F130" s="1" t="s">
        <v>75</v>
      </c>
      <c r="G130" s="1" t="s">
        <v>489</v>
      </c>
      <c r="H130" s="1" t="s">
        <v>490</v>
      </c>
    </row>
    <row r="131" spans="1:8" x14ac:dyDescent="0.2">
      <c r="A131" s="1">
        <v>203023</v>
      </c>
      <c r="B131" s="1" t="s">
        <v>529</v>
      </c>
      <c r="C131" s="1" t="s">
        <v>123</v>
      </c>
      <c r="D131" s="1" t="s">
        <v>473</v>
      </c>
      <c r="E131" s="1" t="s">
        <v>474</v>
      </c>
      <c r="F131" s="1" t="s">
        <v>75</v>
      </c>
      <c r="G131" s="1" t="s">
        <v>491</v>
      </c>
      <c r="H131" s="1" t="s">
        <v>492</v>
      </c>
    </row>
    <row r="132" spans="1:8" x14ac:dyDescent="0.2">
      <c r="A132" s="1">
        <v>203023</v>
      </c>
      <c r="B132" s="1" t="s">
        <v>529</v>
      </c>
      <c r="C132" s="1" t="s">
        <v>123</v>
      </c>
      <c r="D132" s="1" t="s">
        <v>473</v>
      </c>
      <c r="E132" s="1" t="s">
        <v>474</v>
      </c>
      <c r="F132" s="1" t="s">
        <v>109</v>
      </c>
      <c r="G132" s="1" t="s">
        <v>493</v>
      </c>
      <c r="H132" s="1" t="s">
        <v>494</v>
      </c>
    </row>
    <row r="133" spans="1:8" ht="112" x14ac:dyDescent="0.2">
      <c r="A133" s="1">
        <v>203023</v>
      </c>
      <c r="B133" s="1" t="s">
        <v>529</v>
      </c>
      <c r="C133" s="1" t="s">
        <v>130</v>
      </c>
      <c r="D133" s="1" t="s">
        <v>131</v>
      </c>
      <c r="E133" s="1" t="s">
        <v>83</v>
      </c>
      <c r="F133" s="1" t="s">
        <v>71</v>
      </c>
      <c r="G133" s="4" t="s">
        <v>505</v>
      </c>
      <c r="H133" s="1" t="s">
        <v>506</v>
      </c>
    </row>
    <row r="134" spans="1:8" ht="80" x14ac:dyDescent="0.2">
      <c r="A134" s="1">
        <v>203023</v>
      </c>
      <c r="B134" s="1" t="s">
        <v>529</v>
      </c>
      <c r="C134" s="1" t="s">
        <v>130</v>
      </c>
      <c r="D134" s="1" t="s">
        <v>131</v>
      </c>
      <c r="E134" s="1" t="s">
        <v>83</v>
      </c>
      <c r="F134" s="1" t="s">
        <v>69</v>
      </c>
      <c r="G134" s="4" t="s">
        <v>507</v>
      </c>
      <c r="H134" s="1" t="s">
        <v>508</v>
      </c>
    </row>
    <row r="135" spans="1:8" x14ac:dyDescent="0.2">
      <c r="A135" s="1">
        <v>203023</v>
      </c>
      <c r="B135" s="1" t="s">
        <v>529</v>
      </c>
      <c r="C135" s="1" t="s">
        <v>143</v>
      </c>
      <c r="D135" s="1" t="s">
        <v>144</v>
      </c>
      <c r="E135" s="1" t="s">
        <v>509</v>
      </c>
      <c r="F135" s="1" t="s">
        <v>75</v>
      </c>
      <c r="G135" s="1" t="s">
        <v>527</v>
      </c>
      <c r="H135" s="1" t="s">
        <v>528</v>
      </c>
    </row>
    <row r="136" spans="1:8" x14ac:dyDescent="0.2">
      <c r="A136" s="1">
        <v>203023</v>
      </c>
      <c r="B136" s="1" t="s">
        <v>529</v>
      </c>
      <c r="C136" s="1" t="s">
        <v>96</v>
      </c>
      <c r="D136" s="1" t="s">
        <v>97</v>
      </c>
      <c r="E136" s="1" t="s">
        <v>98</v>
      </c>
      <c r="F136" s="1" t="s">
        <v>269</v>
      </c>
      <c r="G136" s="1" t="s">
        <v>270</v>
      </c>
      <c r="H136" s="1" t="s">
        <v>271</v>
      </c>
    </row>
    <row r="137" spans="1:8" x14ac:dyDescent="0.2">
      <c r="A137" s="1">
        <v>203023</v>
      </c>
      <c r="B137" s="1" t="s">
        <v>529</v>
      </c>
      <c r="C137" s="1" t="s">
        <v>96</v>
      </c>
      <c r="D137" s="1" t="s">
        <v>97</v>
      </c>
      <c r="E137" s="1" t="s">
        <v>98</v>
      </c>
      <c r="F137" s="1" t="s">
        <v>272</v>
      </c>
      <c r="G137" s="1" t="s">
        <v>273</v>
      </c>
      <c r="H137" s="1" t="s">
        <v>274</v>
      </c>
    </row>
    <row r="138" spans="1:8" ht="272" x14ac:dyDescent="0.2">
      <c r="A138" s="1">
        <v>203023</v>
      </c>
      <c r="B138" s="1" t="s">
        <v>529</v>
      </c>
      <c r="C138" s="1" t="s">
        <v>96</v>
      </c>
      <c r="D138" s="1" t="s">
        <v>97</v>
      </c>
      <c r="E138" s="1" t="s">
        <v>98</v>
      </c>
      <c r="F138" s="4" t="s">
        <v>275</v>
      </c>
      <c r="G138" s="1" t="s">
        <v>276</v>
      </c>
      <c r="H138" s="1" t="s">
        <v>277</v>
      </c>
    </row>
    <row r="139" spans="1:8" ht="409.6" x14ac:dyDescent="0.2">
      <c r="A139" s="1">
        <v>203023</v>
      </c>
      <c r="B139" s="1" t="s">
        <v>529</v>
      </c>
      <c r="C139" s="1" t="s">
        <v>96</v>
      </c>
      <c r="D139" s="1" t="s">
        <v>97</v>
      </c>
      <c r="E139" s="1" t="s">
        <v>98</v>
      </c>
      <c r="F139" s="4" t="s">
        <v>278</v>
      </c>
      <c r="G139" s="4" t="s">
        <v>279</v>
      </c>
      <c r="H139" s="4" t="s">
        <v>280</v>
      </c>
    </row>
    <row r="140" spans="1:8" ht="160" x14ac:dyDescent="0.2">
      <c r="A140" s="1">
        <v>203023</v>
      </c>
      <c r="B140" s="1" t="s">
        <v>529</v>
      </c>
      <c r="C140" s="1" t="s">
        <v>96</v>
      </c>
      <c r="D140" s="1" t="s">
        <v>97</v>
      </c>
      <c r="E140" s="1" t="s">
        <v>98</v>
      </c>
      <c r="F140" s="1" t="s">
        <v>281</v>
      </c>
      <c r="G140" s="4" t="s">
        <v>282</v>
      </c>
      <c r="H140" s="1" t="s">
        <v>90</v>
      </c>
    </row>
    <row r="141" spans="1:8" ht="224" x14ac:dyDescent="0.2">
      <c r="A141" s="1">
        <v>203023</v>
      </c>
      <c r="B141" s="1" t="s">
        <v>529</v>
      </c>
      <c r="C141" s="1" t="s">
        <v>96</v>
      </c>
      <c r="D141" s="1" t="s">
        <v>97</v>
      </c>
      <c r="E141" s="1" t="s">
        <v>98</v>
      </c>
      <c r="F141" s="1" t="s">
        <v>281</v>
      </c>
      <c r="G141" s="4" t="s">
        <v>283</v>
      </c>
      <c r="H141" s="1" t="s">
        <v>69</v>
      </c>
    </row>
    <row r="142" spans="1:8" ht="160" x14ac:dyDescent="0.2">
      <c r="A142" s="1">
        <v>203023</v>
      </c>
      <c r="B142" s="1" t="s">
        <v>529</v>
      </c>
      <c r="C142" s="1" t="s">
        <v>96</v>
      </c>
      <c r="D142" s="1" t="s">
        <v>97</v>
      </c>
      <c r="E142" s="1" t="s">
        <v>98</v>
      </c>
      <c r="F142" s="1" t="s">
        <v>281</v>
      </c>
      <c r="G142" s="4" t="s">
        <v>284</v>
      </c>
      <c r="H142" s="1" t="s">
        <v>100</v>
      </c>
    </row>
    <row r="143" spans="1:8" x14ac:dyDescent="0.2">
      <c r="A143" s="1">
        <v>203023</v>
      </c>
      <c r="B143" s="1" t="s">
        <v>529</v>
      </c>
      <c r="C143" s="1" t="s">
        <v>96</v>
      </c>
      <c r="D143" s="1" t="s">
        <v>97</v>
      </c>
      <c r="E143" s="1" t="s">
        <v>98</v>
      </c>
      <c r="F143" s="1" t="s">
        <v>285</v>
      </c>
      <c r="H143" s="1" t="s">
        <v>100</v>
      </c>
    </row>
    <row r="144" spans="1:8" x14ac:dyDescent="0.2">
      <c r="A144" s="1">
        <v>203023</v>
      </c>
      <c r="B144" s="1" t="s">
        <v>529</v>
      </c>
      <c r="C144" s="1" t="s">
        <v>96</v>
      </c>
      <c r="D144" s="1" t="s">
        <v>97</v>
      </c>
      <c r="E144" s="1" t="s">
        <v>98</v>
      </c>
      <c r="F144" s="1" t="s">
        <v>286</v>
      </c>
      <c r="H144" s="1" t="s">
        <v>75</v>
      </c>
    </row>
    <row r="145" spans="1:8" x14ac:dyDescent="0.2">
      <c r="A145" s="1">
        <v>203023</v>
      </c>
      <c r="B145" s="1" t="s">
        <v>529</v>
      </c>
      <c r="C145" s="1" t="s">
        <v>96</v>
      </c>
      <c r="D145" s="1" t="s">
        <v>97</v>
      </c>
      <c r="E145" s="1" t="s">
        <v>98</v>
      </c>
      <c r="F145" s="1" t="s">
        <v>287</v>
      </c>
      <c r="G145" s="1" t="s">
        <v>288</v>
      </c>
      <c r="H145" s="1" t="s">
        <v>90</v>
      </c>
    </row>
    <row r="146" spans="1:8" x14ac:dyDescent="0.2">
      <c r="A146" s="1">
        <v>203023</v>
      </c>
      <c r="B146" s="1" t="s">
        <v>529</v>
      </c>
      <c r="C146" s="1" t="s">
        <v>96</v>
      </c>
      <c r="D146" s="1" t="s">
        <v>97</v>
      </c>
      <c r="E146" s="1" t="s">
        <v>98</v>
      </c>
      <c r="F146" s="1" t="s">
        <v>289</v>
      </c>
      <c r="G146" s="1" t="s">
        <v>290</v>
      </c>
      <c r="H146" s="1" t="s">
        <v>80</v>
      </c>
    </row>
    <row r="147" spans="1:8" x14ac:dyDescent="0.2">
      <c r="A147" s="1">
        <v>203023</v>
      </c>
      <c r="B147" s="1" t="s">
        <v>529</v>
      </c>
      <c r="C147" s="1" t="s">
        <v>96</v>
      </c>
      <c r="D147" s="1" t="s">
        <v>97</v>
      </c>
      <c r="E147" s="1" t="s">
        <v>98</v>
      </c>
      <c r="F147" s="1" t="s">
        <v>291</v>
      </c>
      <c r="G147" s="1" t="s">
        <v>292</v>
      </c>
      <c r="H147" s="1" t="s">
        <v>93</v>
      </c>
    </row>
    <row r="148" spans="1:8" x14ac:dyDescent="0.2">
      <c r="A148" s="1">
        <v>203023</v>
      </c>
      <c r="B148" s="1" t="s">
        <v>529</v>
      </c>
      <c r="C148" s="1" t="s">
        <v>96</v>
      </c>
      <c r="D148" s="1" t="s">
        <v>97</v>
      </c>
      <c r="E148" s="1" t="s">
        <v>98</v>
      </c>
      <c r="F148" s="1" t="s">
        <v>293</v>
      </c>
      <c r="G148" s="1" t="s">
        <v>294</v>
      </c>
      <c r="H148" s="1" t="s">
        <v>69</v>
      </c>
    </row>
    <row r="149" spans="1:8" x14ac:dyDescent="0.2">
      <c r="A149" s="1">
        <v>203023</v>
      </c>
      <c r="B149" s="1" t="s">
        <v>529</v>
      </c>
      <c r="C149" s="1" t="s">
        <v>96</v>
      </c>
      <c r="D149" s="1" t="s">
        <v>97</v>
      </c>
      <c r="E149" s="1" t="s">
        <v>98</v>
      </c>
      <c r="F149" s="1" t="s">
        <v>295</v>
      </c>
      <c r="G149" s="1" t="s">
        <v>296</v>
      </c>
      <c r="H149" s="1" t="s">
        <v>87</v>
      </c>
    </row>
    <row r="150" spans="1:8" x14ac:dyDescent="0.2">
      <c r="A150" s="1">
        <v>203023</v>
      </c>
      <c r="B150" s="1" t="s">
        <v>529</v>
      </c>
      <c r="C150" s="1" t="s">
        <v>96</v>
      </c>
      <c r="D150" s="1" t="s">
        <v>97</v>
      </c>
      <c r="E150" s="1" t="s">
        <v>98</v>
      </c>
      <c r="F150" s="1" t="s">
        <v>297</v>
      </c>
      <c r="G150" s="1" t="s">
        <v>298</v>
      </c>
      <c r="H150" s="1" t="s">
        <v>101</v>
      </c>
    </row>
    <row r="151" spans="1:8" x14ac:dyDescent="0.2">
      <c r="A151" s="1">
        <v>203023</v>
      </c>
      <c r="B151" s="1" t="s">
        <v>529</v>
      </c>
      <c r="C151" s="1" t="s">
        <v>96</v>
      </c>
      <c r="D151" s="1" t="s">
        <v>97</v>
      </c>
      <c r="E151" s="1" t="s">
        <v>98</v>
      </c>
      <c r="F151" s="1" t="s">
        <v>293</v>
      </c>
      <c r="G151" s="1" t="s">
        <v>299</v>
      </c>
      <c r="H151" s="1" t="s">
        <v>101</v>
      </c>
    </row>
    <row r="152" spans="1:8" x14ac:dyDescent="0.2">
      <c r="A152" s="1">
        <v>203023</v>
      </c>
      <c r="B152" s="1" t="s">
        <v>529</v>
      </c>
      <c r="C152" s="1" t="s">
        <v>96</v>
      </c>
      <c r="D152" s="1" t="s">
        <v>97</v>
      </c>
      <c r="E152" s="1" t="s">
        <v>98</v>
      </c>
      <c r="F152" s="1" t="s">
        <v>300</v>
      </c>
      <c r="G152" s="1" t="s">
        <v>301</v>
      </c>
    </row>
    <row r="153" spans="1:8" x14ac:dyDescent="0.2">
      <c r="A153" s="1">
        <v>203023</v>
      </c>
      <c r="B153" s="1" t="s">
        <v>529</v>
      </c>
      <c r="C153" s="1" t="s">
        <v>73</v>
      </c>
      <c r="D153" s="1" t="s">
        <v>74</v>
      </c>
      <c r="E153" s="1" t="s">
        <v>302</v>
      </c>
      <c r="F153" s="1" t="s">
        <v>303</v>
      </c>
      <c r="G153" s="1" t="s">
        <v>304</v>
      </c>
      <c r="H153" s="1" t="s">
        <v>305</v>
      </c>
    </row>
    <row r="154" spans="1:8" x14ac:dyDescent="0.2">
      <c r="A154" s="1">
        <v>203023</v>
      </c>
      <c r="B154" s="1" t="s">
        <v>529</v>
      </c>
      <c r="C154" s="1" t="s">
        <v>73</v>
      </c>
      <c r="D154" s="1" t="s">
        <v>74</v>
      </c>
      <c r="E154" s="1" t="s">
        <v>302</v>
      </c>
      <c r="F154" s="1" t="s">
        <v>306</v>
      </c>
      <c r="G154" s="1" t="s">
        <v>307</v>
      </c>
      <c r="H154" s="1" t="s">
        <v>308</v>
      </c>
    </row>
    <row r="155" spans="1:8" ht="96" x14ac:dyDescent="0.2">
      <c r="A155" s="1">
        <v>203023</v>
      </c>
      <c r="B155" s="1" t="s">
        <v>529</v>
      </c>
      <c r="C155" s="1" t="s">
        <v>73</v>
      </c>
      <c r="D155" s="1" t="s">
        <v>74</v>
      </c>
      <c r="E155" s="1" t="s">
        <v>302</v>
      </c>
      <c r="F155" s="1" t="s">
        <v>309</v>
      </c>
      <c r="G155" s="4" t="s">
        <v>310</v>
      </c>
      <c r="H155" s="4" t="s">
        <v>311</v>
      </c>
    </row>
    <row r="156" spans="1:8" x14ac:dyDescent="0.2">
      <c r="A156" s="1">
        <v>203023</v>
      </c>
      <c r="B156" s="1" t="s">
        <v>529</v>
      </c>
      <c r="C156" s="1" t="s">
        <v>73</v>
      </c>
      <c r="D156" s="1" t="s">
        <v>74</v>
      </c>
      <c r="E156" s="1" t="s">
        <v>302</v>
      </c>
      <c r="F156" s="1" t="s">
        <v>312</v>
      </c>
      <c r="G156" s="1" t="s">
        <v>313</v>
      </c>
      <c r="H156" s="1" t="s">
        <v>76</v>
      </c>
    </row>
    <row r="157" spans="1:8" x14ac:dyDescent="0.2">
      <c r="A157" s="1">
        <v>203023</v>
      </c>
      <c r="B157" s="1" t="s">
        <v>529</v>
      </c>
      <c r="C157" s="1" t="s">
        <v>73</v>
      </c>
      <c r="D157" s="1" t="s">
        <v>74</v>
      </c>
      <c r="E157" s="1" t="s">
        <v>302</v>
      </c>
      <c r="F157" s="1" t="s">
        <v>76</v>
      </c>
      <c r="G157" s="1" t="s">
        <v>76</v>
      </c>
      <c r="H157" s="1" t="s">
        <v>76</v>
      </c>
    </row>
    <row r="158" spans="1:8" x14ac:dyDescent="0.2">
      <c r="A158" s="1">
        <v>203023</v>
      </c>
      <c r="B158" s="1" t="s">
        <v>529</v>
      </c>
      <c r="C158" s="1" t="s">
        <v>73</v>
      </c>
      <c r="D158" s="1" t="s">
        <v>74</v>
      </c>
      <c r="E158" s="1" t="s">
        <v>302</v>
      </c>
      <c r="F158" s="1" t="s">
        <v>314</v>
      </c>
      <c r="G158" s="1" t="s">
        <v>315</v>
      </c>
      <c r="H158" s="1" t="s">
        <v>316</v>
      </c>
    </row>
    <row r="159" spans="1:8" x14ac:dyDescent="0.2">
      <c r="A159" s="1">
        <v>203023</v>
      </c>
      <c r="B159" s="1" t="s">
        <v>529</v>
      </c>
      <c r="C159" s="1" t="s">
        <v>73</v>
      </c>
      <c r="D159" s="1" t="s">
        <v>74</v>
      </c>
      <c r="E159" s="1" t="s">
        <v>302</v>
      </c>
      <c r="F159" s="1" t="s">
        <v>317</v>
      </c>
      <c r="G159" s="1" t="s">
        <v>318</v>
      </c>
      <c r="H159" s="1" t="s">
        <v>75</v>
      </c>
    </row>
    <row r="160" spans="1:8" x14ac:dyDescent="0.2">
      <c r="A160" s="1">
        <v>203023</v>
      </c>
      <c r="B160" s="1" t="s">
        <v>529</v>
      </c>
      <c r="C160" s="1" t="s">
        <v>73</v>
      </c>
      <c r="D160" s="1" t="s">
        <v>74</v>
      </c>
      <c r="E160" s="1" t="s">
        <v>302</v>
      </c>
      <c r="F160" s="1" t="s">
        <v>319</v>
      </c>
      <c r="G160" s="1" t="s">
        <v>76</v>
      </c>
      <c r="H160" s="1" t="s">
        <v>75</v>
      </c>
    </row>
    <row r="161" spans="1:8" x14ac:dyDescent="0.2">
      <c r="A161" s="1">
        <v>203023</v>
      </c>
      <c r="B161" s="1" t="s">
        <v>529</v>
      </c>
      <c r="C161" s="1" t="s">
        <v>73</v>
      </c>
      <c r="D161" s="1" t="s">
        <v>74</v>
      </c>
      <c r="E161" s="1" t="s">
        <v>302</v>
      </c>
      <c r="F161" s="1" t="s">
        <v>320</v>
      </c>
      <c r="G161" s="1" t="s">
        <v>76</v>
      </c>
      <c r="H161" s="1" t="s">
        <v>75</v>
      </c>
    </row>
    <row r="162" spans="1:8" x14ac:dyDescent="0.2">
      <c r="A162" s="1">
        <v>203023</v>
      </c>
      <c r="B162" s="1" t="s">
        <v>529</v>
      </c>
      <c r="C162" s="1" t="s">
        <v>73</v>
      </c>
      <c r="D162" s="1" t="s">
        <v>74</v>
      </c>
      <c r="E162" s="1" t="s">
        <v>302</v>
      </c>
      <c r="F162" s="1" t="s">
        <v>321</v>
      </c>
      <c r="G162" s="1" t="s">
        <v>76</v>
      </c>
      <c r="H162" s="1" t="s">
        <v>75</v>
      </c>
    </row>
    <row r="163" spans="1:8" x14ac:dyDescent="0.2">
      <c r="A163" s="1">
        <v>203023</v>
      </c>
      <c r="B163" s="1" t="s">
        <v>529</v>
      </c>
      <c r="C163" s="1" t="s">
        <v>73</v>
      </c>
      <c r="D163" s="1" t="s">
        <v>74</v>
      </c>
      <c r="E163" s="1" t="s">
        <v>302</v>
      </c>
      <c r="F163" s="1" t="s">
        <v>76</v>
      </c>
      <c r="G163" s="1" t="s">
        <v>76</v>
      </c>
    </row>
    <row r="164" spans="1:8" ht="320" x14ac:dyDescent="0.2">
      <c r="A164" s="1">
        <v>203023</v>
      </c>
      <c r="B164" s="1" t="s">
        <v>529</v>
      </c>
      <c r="C164" s="1" t="s">
        <v>122</v>
      </c>
      <c r="D164" s="1" t="s">
        <v>322</v>
      </c>
      <c r="E164" s="1" t="s">
        <v>83</v>
      </c>
      <c r="F164" s="1" t="s">
        <v>323</v>
      </c>
      <c r="G164" s="4" t="s">
        <v>324</v>
      </c>
      <c r="H164" s="1" t="s">
        <v>325</v>
      </c>
    </row>
    <row r="165" spans="1:8" x14ac:dyDescent="0.2">
      <c r="A165" s="1">
        <v>203023</v>
      </c>
      <c r="B165" s="1" t="s">
        <v>529</v>
      </c>
      <c r="C165" s="1" t="s">
        <v>122</v>
      </c>
      <c r="D165" s="1" t="s">
        <v>322</v>
      </c>
      <c r="E165" s="1" t="s">
        <v>83</v>
      </c>
      <c r="F165" s="1" t="s">
        <v>76</v>
      </c>
      <c r="G165" s="1" t="s">
        <v>76</v>
      </c>
      <c r="H165" s="1" t="s">
        <v>76</v>
      </c>
    </row>
    <row r="166" spans="1:8" x14ac:dyDescent="0.2">
      <c r="A166" s="1">
        <v>203023</v>
      </c>
      <c r="B166" s="1" t="s">
        <v>529</v>
      </c>
      <c r="C166" s="1" t="s">
        <v>122</v>
      </c>
      <c r="D166" s="1" t="s">
        <v>322</v>
      </c>
      <c r="E166" s="1" t="s">
        <v>83</v>
      </c>
      <c r="F166" s="1" t="s">
        <v>76</v>
      </c>
      <c r="G166" s="1" t="s">
        <v>76</v>
      </c>
      <c r="H166" s="1" t="s">
        <v>76</v>
      </c>
    </row>
    <row r="167" spans="1:8" x14ac:dyDescent="0.2">
      <c r="A167" s="1">
        <v>203023</v>
      </c>
      <c r="B167" s="1" t="s">
        <v>529</v>
      </c>
      <c r="C167" s="1" t="s">
        <v>122</v>
      </c>
      <c r="D167" s="1" t="s">
        <v>322</v>
      </c>
      <c r="E167" s="1" t="s">
        <v>83</v>
      </c>
      <c r="F167" s="1" t="s">
        <v>76</v>
      </c>
      <c r="G167" s="1" t="s">
        <v>326</v>
      </c>
      <c r="H167" s="1" t="s">
        <v>327</v>
      </c>
    </row>
    <row r="168" spans="1:8" x14ac:dyDescent="0.2">
      <c r="A168" s="1">
        <v>203023</v>
      </c>
      <c r="B168" s="1" t="s">
        <v>529</v>
      </c>
      <c r="C168" s="1" t="s">
        <v>122</v>
      </c>
      <c r="D168" s="1" t="s">
        <v>322</v>
      </c>
      <c r="E168" s="1" t="s">
        <v>83</v>
      </c>
      <c r="F168" s="1" t="s">
        <v>328</v>
      </c>
      <c r="G168" s="1" t="s">
        <v>76</v>
      </c>
      <c r="H168" s="1" t="s">
        <v>76</v>
      </c>
    </row>
    <row r="169" spans="1:8" x14ac:dyDescent="0.2">
      <c r="A169" s="1">
        <v>203023</v>
      </c>
      <c r="B169" s="1" t="s">
        <v>529</v>
      </c>
      <c r="C169" s="1" t="s">
        <v>122</v>
      </c>
      <c r="D169" s="1" t="s">
        <v>322</v>
      </c>
      <c r="E169" s="1" t="s">
        <v>83</v>
      </c>
      <c r="F169" s="1" t="s">
        <v>329</v>
      </c>
      <c r="G169" s="1" t="s">
        <v>330</v>
      </c>
      <c r="H169" s="1" t="s">
        <v>331</v>
      </c>
    </row>
    <row r="170" spans="1:8" x14ac:dyDescent="0.2">
      <c r="A170" s="1">
        <v>203023</v>
      </c>
      <c r="B170" s="1" t="s">
        <v>529</v>
      </c>
      <c r="C170" s="1" t="s">
        <v>122</v>
      </c>
      <c r="D170" s="1" t="s">
        <v>322</v>
      </c>
      <c r="E170" s="1" t="s">
        <v>83</v>
      </c>
      <c r="F170" s="1" t="s">
        <v>76</v>
      </c>
      <c r="G170" s="1" t="s">
        <v>76</v>
      </c>
      <c r="H170" s="1" t="s">
        <v>69</v>
      </c>
    </row>
    <row r="171" spans="1:8" x14ac:dyDescent="0.2">
      <c r="A171" s="1">
        <v>203023</v>
      </c>
      <c r="B171" s="1" t="s">
        <v>529</v>
      </c>
      <c r="C171" s="1" t="s">
        <v>122</v>
      </c>
      <c r="D171" s="1" t="s">
        <v>322</v>
      </c>
      <c r="E171" s="1" t="s">
        <v>83</v>
      </c>
      <c r="F171" s="1" t="s">
        <v>76</v>
      </c>
      <c r="G171" s="1" t="s">
        <v>76</v>
      </c>
    </row>
    <row r="172" spans="1:8" x14ac:dyDescent="0.2">
      <c r="A172" s="1">
        <v>203023</v>
      </c>
      <c r="B172" s="1" t="s">
        <v>529</v>
      </c>
      <c r="C172" s="1" t="s">
        <v>115</v>
      </c>
      <c r="D172" s="1" t="s">
        <v>116</v>
      </c>
      <c r="E172" s="1" t="s">
        <v>117</v>
      </c>
      <c r="F172" s="1" t="s">
        <v>332</v>
      </c>
      <c r="G172" s="1" t="s">
        <v>333</v>
      </c>
      <c r="H172" s="1" t="s">
        <v>334</v>
      </c>
    </row>
    <row r="173" spans="1:8" x14ac:dyDescent="0.2">
      <c r="A173" s="1">
        <v>203023</v>
      </c>
      <c r="B173" s="1" t="s">
        <v>529</v>
      </c>
      <c r="C173" s="1" t="s">
        <v>115</v>
      </c>
      <c r="D173" s="1" t="s">
        <v>116</v>
      </c>
      <c r="E173" s="1" t="s">
        <v>117</v>
      </c>
      <c r="F173" s="1" t="s">
        <v>335</v>
      </c>
      <c r="G173" s="1" t="s">
        <v>336</v>
      </c>
      <c r="H173" s="1" t="s">
        <v>337</v>
      </c>
    </row>
    <row r="174" spans="1:8" x14ac:dyDescent="0.2">
      <c r="A174" s="1">
        <v>203023</v>
      </c>
      <c r="B174" s="1" t="s">
        <v>529</v>
      </c>
      <c r="C174" s="1" t="s">
        <v>115</v>
      </c>
      <c r="D174" s="1" t="s">
        <v>116</v>
      </c>
      <c r="E174" s="1" t="s">
        <v>117</v>
      </c>
      <c r="F174" s="1" t="s">
        <v>338</v>
      </c>
      <c r="G174" s="1" t="s">
        <v>339</v>
      </c>
      <c r="H174" s="1" t="s">
        <v>340</v>
      </c>
    </row>
    <row r="175" spans="1:8" x14ac:dyDescent="0.2">
      <c r="A175" s="1">
        <v>203023</v>
      </c>
      <c r="B175" s="1" t="s">
        <v>529</v>
      </c>
      <c r="C175" s="1" t="s">
        <v>115</v>
      </c>
      <c r="D175" s="1" t="s">
        <v>116</v>
      </c>
      <c r="E175" s="1" t="s">
        <v>117</v>
      </c>
      <c r="F175" s="1" t="s">
        <v>341</v>
      </c>
      <c r="G175" s="1" t="s">
        <v>342</v>
      </c>
      <c r="H175" s="1" t="s">
        <v>343</v>
      </c>
    </row>
    <row r="176" spans="1:8" x14ac:dyDescent="0.2">
      <c r="A176" s="1">
        <v>203023</v>
      </c>
      <c r="B176" s="1" t="s">
        <v>529</v>
      </c>
      <c r="C176" s="1" t="s">
        <v>115</v>
      </c>
      <c r="D176" s="1" t="s">
        <v>116</v>
      </c>
      <c r="E176" s="1" t="s">
        <v>117</v>
      </c>
      <c r="F176" s="1" t="s">
        <v>344</v>
      </c>
      <c r="G176" s="1" t="s">
        <v>345</v>
      </c>
      <c r="H176" s="1" t="s">
        <v>346</v>
      </c>
    </row>
    <row r="177" spans="1:8" x14ac:dyDescent="0.2">
      <c r="A177" s="1">
        <v>203023</v>
      </c>
      <c r="B177" s="1" t="s">
        <v>529</v>
      </c>
      <c r="C177" s="1" t="s">
        <v>115</v>
      </c>
      <c r="D177" s="1" t="s">
        <v>116</v>
      </c>
      <c r="E177" s="1" t="s">
        <v>117</v>
      </c>
      <c r="F177" s="1" t="s">
        <v>347</v>
      </c>
      <c r="G177" s="1" t="s">
        <v>348</v>
      </c>
      <c r="H177" s="1" t="s">
        <v>349</v>
      </c>
    </row>
    <row r="178" spans="1:8" x14ac:dyDescent="0.2">
      <c r="A178" s="1">
        <v>203023</v>
      </c>
      <c r="B178" s="1" t="s">
        <v>529</v>
      </c>
      <c r="C178" s="1" t="s">
        <v>115</v>
      </c>
      <c r="D178" s="1" t="s">
        <v>116</v>
      </c>
      <c r="E178" s="1" t="s">
        <v>117</v>
      </c>
      <c r="F178" s="1" t="s">
        <v>350</v>
      </c>
      <c r="G178" s="1" t="s">
        <v>351</v>
      </c>
      <c r="H178" s="1" t="s">
        <v>69</v>
      </c>
    </row>
    <row r="179" spans="1:8" x14ac:dyDescent="0.2">
      <c r="A179" s="1">
        <v>203023</v>
      </c>
      <c r="B179" s="1" t="s">
        <v>529</v>
      </c>
      <c r="C179" s="1" t="s">
        <v>115</v>
      </c>
      <c r="D179" s="1" t="s">
        <v>116</v>
      </c>
      <c r="E179" s="1" t="s">
        <v>117</v>
      </c>
      <c r="F179" s="1" t="s">
        <v>352</v>
      </c>
      <c r="G179" s="1" t="s">
        <v>353</v>
      </c>
      <c r="H179" s="1" t="s">
        <v>69</v>
      </c>
    </row>
    <row r="180" spans="1:8" x14ac:dyDescent="0.2">
      <c r="A180" s="1">
        <v>203023</v>
      </c>
      <c r="B180" s="1" t="s">
        <v>529</v>
      </c>
      <c r="C180" s="1" t="s">
        <v>115</v>
      </c>
      <c r="D180" s="1" t="s">
        <v>116</v>
      </c>
      <c r="E180" s="1" t="s">
        <v>117</v>
      </c>
      <c r="F180" s="1" t="s">
        <v>354</v>
      </c>
      <c r="G180" s="1" t="s">
        <v>355</v>
      </c>
    </row>
    <row r="181" spans="1:8" x14ac:dyDescent="0.2">
      <c r="A181" s="1">
        <v>203023</v>
      </c>
      <c r="B181" s="1" t="s">
        <v>529</v>
      </c>
      <c r="C181" s="1" t="s">
        <v>127</v>
      </c>
      <c r="D181" s="1" t="s">
        <v>128</v>
      </c>
      <c r="E181" s="1" t="s">
        <v>129</v>
      </c>
      <c r="F181" s="1" t="s">
        <v>356</v>
      </c>
      <c r="G181" s="1" t="s">
        <v>357</v>
      </c>
      <c r="H181" s="1" t="s">
        <v>358</v>
      </c>
    </row>
    <row r="182" spans="1:8" ht="208" x14ac:dyDescent="0.2">
      <c r="A182" s="1">
        <v>203023</v>
      </c>
      <c r="B182" s="1" t="s">
        <v>529</v>
      </c>
      <c r="C182" s="1" t="s">
        <v>127</v>
      </c>
      <c r="D182" s="1" t="s">
        <v>128</v>
      </c>
      <c r="E182" s="1" t="s">
        <v>129</v>
      </c>
      <c r="F182" s="4" t="s">
        <v>359</v>
      </c>
      <c r="G182" s="4" t="s">
        <v>360</v>
      </c>
      <c r="H182" s="1" t="s">
        <v>361</v>
      </c>
    </row>
    <row r="183" spans="1:8" x14ac:dyDescent="0.2">
      <c r="A183" s="1">
        <v>203023</v>
      </c>
      <c r="B183" s="1" t="s">
        <v>529</v>
      </c>
      <c r="C183" s="1" t="s">
        <v>127</v>
      </c>
      <c r="D183" s="1" t="s">
        <v>128</v>
      </c>
      <c r="E183" s="1" t="s">
        <v>129</v>
      </c>
      <c r="F183" s="1" t="s">
        <v>362</v>
      </c>
      <c r="G183" s="1" t="s">
        <v>363</v>
      </c>
      <c r="H183" s="1" t="s">
        <v>364</v>
      </c>
    </row>
    <row r="184" spans="1:8" x14ac:dyDescent="0.2">
      <c r="A184" s="1">
        <v>203023</v>
      </c>
      <c r="B184" s="1" t="s">
        <v>529</v>
      </c>
      <c r="C184" s="1" t="s">
        <v>127</v>
      </c>
      <c r="D184" s="1" t="s">
        <v>128</v>
      </c>
      <c r="E184" s="1" t="s">
        <v>129</v>
      </c>
      <c r="F184" s="1" t="s">
        <v>365</v>
      </c>
      <c r="G184" s="1" t="s">
        <v>366</v>
      </c>
      <c r="H184" s="1" t="s">
        <v>367</v>
      </c>
    </row>
    <row r="185" spans="1:8" ht="160" x14ac:dyDescent="0.2">
      <c r="A185" s="1">
        <v>203023</v>
      </c>
      <c r="B185" s="1" t="s">
        <v>529</v>
      </c>
      <c r="C185" s="1" t="s">
        <v>127</v>
      </c>
      <c r="D185" s="1" t="s">
        <v>128</v>
      </c>
      <c r="E185" s="1" t="s">
        <v>129</v>
      </c>
      <c r="F185" s="4" t="s">
        <v>368</v>
      </c>
      <c r="G185" s="4" t="s">
        <v>369</v>
      </c>
    </row>
    <row r="186" spans="1:8" ht="80" x14ac:dyDescent="0.2">
      <c r="A186" s="1">
        <v>203023</v>
      </c>
      <c r="B186" s="1" t="s">
        <v>529</v>
      </c>
      <c r="C186" s="1" t="s">
        <v>127</v>
      </c>
      <c r="D186" s="1" t="s">
        <v>128</v>
      </c>
      <c r="E186" s="1" t="s">
        <v>129</v>
      </c>
      <c r="F186" s="1" t="s">
        <v>370</v>
      </c>
      <c r="G186" s="1" t="s">
        <v>371</v>
      </c>
      <c r="H186" s="4" t="s">
        <v>372</v>
      </c>
    </row>
    <row r="187" spans="1:8" ht="96" x14ac:dyDescent="0.2">
      <c r="A187" s="1">
        <v>203023</v>
      </c>
      <c r="B187" s="1" t="s">
        <v>529</v>
      </c>
      <c r="C187" s="1" t="s">
        <v>127</v>
      </c>
      <c r="D187" s="1" t="s">
        <v>128</v>
      </c>
      <c r="E187" s="1" t="s">
        <v>129</v>
      </c>
      <c r="F187" s="4" t="s">
        <v>373</v>
      </c>
      <c r="G187" s="1" t="s">
        <v>374</v>
      </c>
      <c r="H187" s="1" t="s">
        <v>71</v>
      </c>
    </row>
    <row r="188" spans="1:8" ht="176" x14ac:dyDescent="0.2">
      <c r="A188" s="1">
        <v>203023</v>
      </c>
      <c r="B188" s="1" t="s">
        <v>529</v>
      </c>
      <c r="C188" s="1" t="s">
        <v>127</v>
      </c>
      <c r="D188" s="1" t="s">
        <v>128</v>
      </c>
      <c r="E188" s="1" t="s">
        <v>129</v>
      </c>
      <c r="F188" s="1" t="s">
        <v>375</v>
      </c>
      <c r="G188" s="4" t="s">
        <v>376</v>
      </c>
      <c r="H188" s="1" t="s">
        <v>71</v>
      </c>
    </row>
    <row r="189" spans="1:8" x14ac:dyDescent="0.2">
      <c r="A189" s="1">
        <v>203023</v>
      </c>
      <c r="B189" s="1" t="s">
        <v>529</v>
      </c>
      <c r="C189" s="1" t="s">
        <v>127</v>
      </c>
      <c r="D189" s="1" t="s">
        <v>128</v>
      </c>
      <c r="E189" s="1" t="s">
        <v>129</v>
      </c>
      <c r="F189" s="1" t="s">
        <v>377</v>
      </c>
      <c r="G189" s="1" t="s">
        <v>378</v>
      </c>
      <c r="H189" s="1" t="s">
        <v>101</v>
      </c>
    </row>
    <row r="190" spans="1:8" ht="96" x14ac:dyDescent="0.2">
      <c r="A190" s="1">
        <v>203023</v>
      </c>
      <c r="B190" s="1" t="s">
        <v>529</v>
      </c>
      <c r="C190" s="1" t="s">
        <v>127</v>
      </c>
      <c r="D190" s="1" t="s">
        <v>128</v>
      </c>
      <c r="E190" s="1" t="s">
        <v>129</v>
      </c>
      <c r="F190" s="4" t="s">
        <v>379</v>
      </c>
    </row>
    <row r="191" spans="1:8" x14ac:dyDescent="0.2">
      <c r="A191" s="1">
        <v>203023</v>
      </c>
      <c r="B191" s="1" t="s">
        <v>529</v>
      </c>
      <c r="C191" s="1" t="s">
        <v>113</v>
      </c>
      <c r="D191" s="1" t="s">
        <v>114</v>
      </c>
      <c r="E191" s="1" t="s">
        <v>83</v>
      </c>
      <c r="F191" s="1" t="s">
        <v>380</v>
      </c>
      <c r="G191" s="1" t="s">
        <v>381</v>
      </c>
      <c r="H191" s="1" t="s">
        <v>382</v>
      </c>
    </row>
    <row r="192" spans="1:8" x14ac:dyDescent="0.2">
      <c r="A192" s="1">
        <v>203023</v>
      </c>
      <c r="B192" s="1" t="s">
        <v>529</v>
      </c>
      <c r="C192" s="1" t="s">
        <v>113</v>
      </c>
      <c r="D192" s="1" t="s">
        <v>114</v>
      </c>
      <c r="E192" s="1" t="s">
        <v>83</v>
      </c>
      <c r="F192" s="1" t="s">
        <v>383</v>
      </c>
      <c r="G192" s="1" t="s">
        <v>384</v>
      </c>
      <c r="H192" s="1" t="s">
        <v>385</v>
      </c>
    </row>
    <row r="193" spans="1:8" x14ac:dyDescent="0.2">
      <c r="A193" s="1">
        <v>203023</v>
      </c>
      <c r="B193" s="1" t="s">
        <v>529</v>
      </c>
      <c r="C193" s="1" t="s">
        <v>113</v>
      </c>
      <c r="D193" s="1" t="s">
        <v>114</v>
      </c>
      <c r="E193" s="1" t="s">
        <v>83</v>
      </c>
      <c r="F193" s="1" t="s">
        <v>386</v>
      </c>
      <c r="G193" s="1" t="s">
        <v>387</v>
      </c>
    </row>
    <row r="194" spans="1:8" x14ac:dyDescent="0.2">
      <c r="A194" s="1">
        <v>203023</v>
      </c>
      <c r="B194" s="1" t="s">
        <v>529</v>
      </c>
      <c r="C194" s="1" t="s">
        <v>113</v>
      </c>
      <c r="D194" s="1" t="s">
        <v>114</v>
      </c>
      <c r="E194" s="1" t="s">
        <v>83</v>
      </c>
      <c r="F194" s="1" t="s">
        <v>388</v>
      </c>
      <c r="G194" s="1" t="s">
        <v>389</v>
      </c>
      <c r="H194" s="1" t="s">
        <v>390</v>
      </c>
    </row>
    <row r="195" spans="1:8" x14ac:dyDescent="0.2">
      <c r="A195" s="1">
        <v>203023</v>
      </c>
      <c r="B195" s="1" t="s">
        <v>529</v>
      </c>
      <c r="C195" s="1" t="s">
        <v>113</v>
      </c>
      <c r="D195" s="1" t="s">
        <v>114</v>
      </c>
      <c r="E195" s="1" t="s">
        <v>83</v>
      </c>
      <c r="F195" s="1" t="s">
        <v>391</v>
      </c>
      <c r="G195" s="1" t="s">
        <v>392</v>
      </c>
      <c r="H195" s="1" t="s">
        <v>95</v>
      </c>
    </row>
    <row r="196" spans="1:8" x14ac:dyDescent="0.2">
      <c r="A196" s="1">
        <v>203023</v>
      </c>
      <c r="B196" s="1" t="s">
        <v>529</v>
      </c>
      <c r="C196" s="1" t="s">
        <v>113</v>
      </c>
      <c r="D196" s="1" t="s">
        <v>114</v>
      </c>
      <c r="E196" s="1" t="s">
        <v>83</v>
      </c>
      <c r="F196" s="1" t="s">
        <v>393</v>
      </c>
      <c r="G196" s="1" t="s">
        <v>394</v>
      </c>
      <c r="H196" s="1" t="s">
        <v>70</v>
      </c>
    </row>
    <row r="197" spans="1:8" ht="160" x14ac:dyDescent="0.2">
      <c r="A197" s="1">
        <v>203023</v>
      </c>
      <c r="B197" s="1" t="s">
        <v>529</v>
      </c>
      <c r="C197" s="1" t="s">
        <v>113</v>
      </c>
      <c r="D197" s="1" t="s">
        <v>114</v>
      </c>
      <c r="E197" s="1" t="s">
        <v>83</v>
      </c>
      <c r="F197" s="4" t="s">
        <v>395</v>
      </c>
      <c r="G197" s="1" t="s">
        <v>396</v>
      </c>
      <c r="H197" s="1" t="s">
        <v>80</v>
      </c>
    </row>
    <row r="198" spans="1:8" x14ac:dyDescent="0.2">
      <c r="A198" s="1">
        <v>203023</v>
      </c>
      <c r="B198" s="1" t="s">
        <v>529</v>
      </c>
      <c r="C198" s="1" t="s">
        <v>113</v>
      </c>
      <c r="D198" s="1" t="s">
        <v>114</v>
      </c>
      <c r="E198" s="1" t="s">
        <v>83</v>
      </c>
      <c r="F198" s="1" t="s">
        <v>397</v>
      </c>
      <c r="G198" s="1" t="s">
        <v>398</v>
      </c>
      <c r="H198" s="1" t="s">
        <v>101</v>
      </c>
    </row>
    <row r="199" spans="1:8" x14ac:dyDescent="0.2">
      <c r="A199" s="1">
        <v>203023</v>
      </c>
      <c r="B199" s="1" t="s">
        <v>529</v>
      </c>
      <c r="C199" s="1" t="s">
        <v>113</v>
      </c>
      <c r="D199" s="1" t="s">
        <v>114</v>
      </c>
      <c r="E199" s="1" t="s">
        <v>83</v>
      </c>
      <c r="F199" s="1" t="s">
        <v>399</v>
      </c>
      <c r="G199" s="1" t="s">
        <v>400</v>
      </c>
    </row>
    <row r="200" spans="1:8" x14ac:dyDescent="0.2">
      <c r="A200" s="1">
        <v>203023</v>
      </c>
      <c r="B200" s="1" t="s">
        <v>529</v>
      </c>
      <c r="C200" s="1" t="s">
        <v>103</v>
      </c>
      <c r="D200" s="1" t="s">
        <v>401</v>
      </c>
      <c r="E200" s="1" t="s">
        <v>402</v>
      </c>
      <c r="F200" s="1" t="s">
        <v>403</v>
      </c>
      <c r="G200" s="1" t="s">
        <v>404</v>
      </c>
      <c r="H200" s="1" t="s">
        <v>405</v>
      </c>
    </row>
    <row r="201" spans="1:8" x14ac:dyDescent="0.2">
      <c r="A201" s="1">
        <v>203023</v>
      </c>
      <c r="B201" s="1" t="s">
        <v>529</v>
      </c>
      <c r="C201" s="1" t="s">
        <v>103</v>
      </c>
      <c r="D201" s="1" t="s">
        <v>401</v>
      </c>
      <c r="E201" s="1" t="s">
        <v>402</v>
      </c>
      <c r="F201" s="1" t="s">
        <v>406</v>
      </c>
      <c r="G201" s="1" t="s">
        <v>407</v>
      </c>
      <c r="H201" s="1" t="s">
        <v>408</v>
      </c>
    </row>
    <row r="202" spans="1:8" x14ac:dyDescent="0.2">
      <c r="A202" s="1">
        <v>203023</v>
      </c>
      <c r="B202" s="1" t="s">
        <v>529</v>
      </c>
      <c r="C202" s="1" t="s">
        <v>103</v>
      </c>
      <c r="D202" s="1" t="s">
        <v>401</v>
      </c>
      <c r="E202" s="1" t="s">
        <v>402</v>
      </c>
      <c r="F202" s="1" t="s">
        <v>409</v>
      </c>
      <c r="G202" s="1" t="s">
        <v>410</v>
      </c>
      <c r="H202" s="1" t="s">
        <v>411</v>
      </c>
    </row>
    <row r="203" spans="1:8" x14ac:dyDescent="0.2">
      <c r="A203" s="1">
        <v>203023</v>
      </c>
      <c r="B203" s="1" t="s">
        <v>529</v>
      </c>
      <c r="C203" s="1" t="s">
        <v>103</v>
      </c>
      <c r="D203" s="1" t="s">
        <v>401</v>
      </c>
      <c r="E203" s="1" t="s">
        <v>402</v>
      </c>
      <c r="F203" s="1" t="s">
        <v>412</v>
      </c>
      <c r="G203" s="1" t="s">
        <v>413</v>
      </c>
      <c r="H203" s="1" t="s">
        <v>414</v>
      </c>
    </row>
    <row r="204" spans="1:8" x14ac:dyDescent="0.2">
      <c r="A204" s="1">
        <v>203023</v>
      </c>
      <c r="B204" s="1" t="s">
        <v>529</v>
      </c>
      <c r="C204" s="1" t="s">
        <v>103</v>
      </c>
      <c r="D204" s="1" t="s">
        <v>401</v>
      </c>
      <c r="E204" s="1" t="s">
        <v>402</v>
      </c>
      <c r="F204" s="1" t="s">
        <v>415</v>
      </c>
      <c r="G204" s="1" t="s">
        <v>416</v>
      </c>
      <c r="H204" s="1" t="s">
        <v>417</v>
      </c>
    </row>
    <row r="205" spans="1:8" x14ac:dyDescent="0.2">
      <c r="A205" s="1">
        <v>203023</v>
      </c>
      <c r="B205" s="1" t="s">
        <v>529</v>
      </c>
      <c r="C205" s="1" t="s">
        <v>103</v>
      </c>
      <c r="D205" s="1" t="s">
        <v>401</v>
      </c>
      <c r="E205" s="1" t="s">
        <v>402</v>
      </c>
      <c r="F205" s="1" t="s">
        <v>418</v>
      </c>
      <c r="G205" s="1" t="s">
        <v>419</v>
      </c>
      <c r="H205" s="1" t="s">
        <v>87</v>
      </c>
    </row>
    <row r="206" spans="1:8" x14ac:dyDescent="0.2">
      <c r="A206" s="1">
        <v>203023</v>
      </c>
      <c r="B206" s="1" t="s">
        <v>529</v>
      </c>
      <c r="C206" s="1" t="s">
        <v>103</v>
      </c>
      <c r="D206" s="1" t="s">
        <v>401</v>
      </c>
      <c r="E206" s="1" t="s">
        <v>402</v>
      </c>
      <c r="F206" s="1" t="s">
        <v>76</v>
      </c>
      <c r="G206" s="1" t="s">
        <v>76</v>
      </c>
    </row>
    <row r="207" spans="1:8" ht="409.6" x14ac:dyDescent="0.2">
      <c r="A207" s="1">
        <v>203023</v>
      </c>
      <c r="B207" s="1" t="s">
        <v>529</v>
      </c>
      <c r="C207" s="1" t="s">
        <v>133</v>
      </c>
      <c r="D207" s="1" t="s">
        <v>134</v>
      </c>
      <c r="E207" s="1" t="s">
        <v>135</v>
      </c>
      <c r="F207" s="4" t="s">
        <v>420</v>
      </c>
      <c r="G207" s="4" t="s">
        <v>421</v>
      </c>
      <c r="H207" s="4" t="s">
        <v>422</v>
      </c>
    </row>
    <row r="208" spans="1:8" ht="409.6" x14ac:dyDescent="0.2">
      <c r="A208" s="1">
        <v>203023</v>
      </c>
      <c r="B208" s="1" t="s">
        <v>529</v>
      </c>
      <c r="C208" s="1" t="s">
        <v>133</v>
      </c>
      <c r="D208" s="1" t="s">
        <v>134</v>
      </c>
      <c r="E208" s="1" t="s">
        <v>135</v>
      </c>
      <c r="F208" s="4" t="s">
        <v>423</v>
      </c>
      <c r="G208" s="4" t="s">
        <v>424</v>
      </c>
      <c r="H208" s="4" t="s">
        <v>425</v>
      </c>
    </row>
    <row r="209" spans="1:8" ht="409.6" x14ac:dyDescent="0.2">
      <c r="A209" s="1">
        <v>203023</v>
      </c>
      <c r="B209" s="1" t="s">
        <v>529</v>
      </c>
      <c r="C209" s="1" t="s">
        <v>133</v>
      </c>
      <c r="D209" s="1" t="s">
        <v>134</v>
      </c>
      <c r="E209" s="1" t="s">
        <v>135</v>
      </c>
      <c r="F209" s="4" t="s">
        <v>426</v>
      </c>
      <c r="G209" s="4" t="s">
        <v>427</v>
      </c>
      <c r="H209" s="4" t="s">
        <v>428</v>
      </c>
    </row>
    <row r="210" spans="1:8" ht="380" x14ac:dyDescent="0.2">
      <c r="A210" s="1">
        <v>203023</v>
      </c>
      <c r="B210" s="1" t="s">
        <v>529</v>
      </c>
      <c r="C210" s="1" t="s">
        <v>133</v>
      </c>
      <c r="D210" s="1" t="s">
        <v>134</v>
      </c>
      <c r="E210" s="1" t="s">
        <v>135</v>
      </c>
      <c r="F210" s="4" t="s">
        <v>429</v>
      </c>
      <c r="G210" s="4" t="s">
        <v>430</v>
      </c>
      <c r="H210" s="4" t="s">
        <v>431</v>
      </c>
    </row>
    <row r="211" spans="1:8" ht="409.6" x14ac:dyDescent="0.2">
      <c r="A211" s="1">
        <v>203023</v>
      </c>
      <c r="B211" s="1" t="s">
        <v>529</v>
      </c>
      <c r="C211" s="1" t="s">
        <v>133</v>
      </c>
      <c r="D211" s="1" t="s">
        <v>134</v>
      </c>
      <c r="E211" s="1" t="s">
        <v>135</v>
      </c>
      <c r="F211" s="4" t="s">
        <v>432</v>
      </c>
      <c r="G211" s="4" t="s">
        <v>433</v>
      </c>
      <c r="H211" s="1" t="s">
        <v>69</v>
      </c>
    </row>
    <row r="212" spans="1:8" ht="409.6" x14ac:dyDescent="0.2">
      <c r="A212" s="1">
        <v>203023</v>
      </c>
      <c r="B212" s="1" t="s">
        <v>529</v>
      </c>
      <c r="C212" s="1" t="s">
        <v>133</v>
      </c>
      <c r="D212" s="1" t="s">
        <v>134</v>
      </c>
      <c r="E212" s="1" t="s">
        <v>135</v>
      </c>
      <c r="F212" s="4" t="s">
        <v>434</v>
      </c>
      <c r="G212" s="1" t="s">
        <v>136</v>
      </c>
    </row>
    <row r="213" spans="1:8" ht="350" x14ac:dyDescent="0.2">
      <c r="A213" s="1">
        <v>203023</v>
      </c>
      <c r="B213" s="1" t="s">
        <v>529</v>
      </c>
      <c r="C213" s="1" t="s">
        <v>139</v>
      </c>
      <c r="D213" s="1" t="s">
        <v>435</v>
      </c>
      <c r="E213" s="1" t="s">
        <v>140</v>
      </c>
      <c r="F213" s="4" t="s">
        <v>436</v>
      </c>
      <c r="G213" s="4" t="s">
        <v>437</v>
      </c>
      <c r="H213" s="4" t="s">
        <v>438</v>
      </c>
    </row>
    <row r="214" spans="1:8" ht="224" x14ac:dyDescent="0.2">
      <c r="A214" s="1">
        <v>203023</v>
      </c>
      <c r="B214" s="1" t="s">
        <v>529</v>
      </c>
      <c r="C214" s="1" t="s">
        <v>139</v>
      </c>
      <c r="D214" s="1" t="s">
        <v>435</v>
      </c>
      <c r="E214" s="1" t="s">
        <v>140</v>
      </c>
      <c r="F214" s="4" t="s">
        <v>439</v>
      </c>
      <c r="G214" s="1" t="s">
        <v>440</v>
      </c>
      <c r="H214" s="1" t="s">
        <v>441</v>
      </c>
    </row>
    <row r="215" spans="1:8" x14ac:dyDescent="0.2">
      <c r="A215" s="1">
        <v>203023</v>
      </c>
      <c r="B215" s="1" t="s">
        <v>529</v>
      </c>
      <c r="C215" s="1" t="s">
        <v>139</v>
      </c>
      <c r="D215" s="1" t="s">
        <v>435</v>
      </c>
      <c r="E215" s="1" t="s">
        <v>140</v>
      </c>
      <c r="F215" s="1" t="s">
        <v>442</v>
      </c>
      <c r="G215" s="1" t="s">
        <v>443</v>
      </c>
      <c r="H215" s="1" t="s">
        <v>444</v>
      </c>
    </row>
    <row r="216" spans="1:8" x14ac:dyDescent="0.2">
      <c r="A216" s="1">
        <v>203023</v>
      </c>
      <c r="B216" s="1" t="s">
        <v>529</v>
      </c>
      <c r="C216" s="1" t="s">
        <v>139</v>
      </c>
      <c r="D216" s="1" t="s">
        <v>435</v>
      </c>
      <c r="E216" s="1" t="s">
        <v>140</v>
      </c>
      <c r="F216" s="1" t="s">
        <v>445</v>
      </c>
      <c r="G216" s="1" t="s">
        <v>446</v>
      </c>
      <c r="H216" s="1" t="s">
        <v>447</v>
      </c>
    </row>
    <row r="217" spans="1:8" ht="304" x14ac:dyDescent="0.2">
      <c r="A217" s="1">
        <v>203023</v>
      </c>
      <c r="B217" s="1" t="s">
        <v>529</v>
      </c>
      <c r="C217" s="1" t="s">
        <v>139</v>
      </c>
      <c r="D217" s="1" t="s">
        <v>435</v>
      </c>
      <c r="E217" s="1" t="s">
        <v>140</v>
      </c>
      <c r="F217" s="4" t="s">
        <v>448</v>
      </c>
      <c r="G217" s="4" t="s">
        <v>449</v>
      </c>
      <c r="H217" s="1" t="s">
        <v>71</v>
      </c>
    </row>
    <row r="218" spans="1:8" x14ac:dyDescent="0.2">
      <c r="A218" s="1">
        <v>203023</v>
      </c>
      <c r="B218" s="1" t="s">
        <v>529</v>
      </c>
      <c r="C218" s="1" t="s">
        <v>139</v>
      </c>
      <c r="D218" s="1" t="s">
        <v>435</v>
      </c>
      <c r="E218" s="1" t="s">
        <v>140</v>
      </c>
      <c r="F218" s="1" t="s">
        <v>450</v>
      </c>
      <c r="G218" s="1" t="s">
        <v>141</v>
      </c>
      <c r="H218" s="1" t="s">
        <v>100</v>
      </c>
    </row>
    <row r="219" spans="1:8" ht="80" x14ac:dyDescent="0.2">
      <c r="A219" s="1">
        <v>203023</v>
      </c>
      <c r="B219" s="1" t="s">
        <v>529</v>
      </c>
      <c r="C219" s="1" t="s">
        <v>139</v>
      </c>
      <c r="D219" s="1" t="s">
        <v>435</v>
      </c>
      <c r="E219" s="1" t="s">
        <v>140</v>
      </c>
      <c r="F219" s="4" t="s">
        <v>451</v>
      </c>
      <c r="G219" s="1" t="s">
        <v>452</v>
      </c>
      <c r="H219" s="1" t="s">
        <v>72</v>
      </c>
    </row>
    <row r="220" spans="1:8" ht="64" x14ac:dyDescent="0.2">
      <c r="A220" s="1">
        <v>203023</v>
      </c>
      <c r="B220" s="1" t="s">
        <v>529</v>
      </c>
      <c r="C220" s="1" t="s">
        <v>139</v>
      </c>
      <c r="D220" s="1" t="s">
        <v>435</v>
      </c>
      <c r="E220" s="1" t="s">
        <v>140</v>
      </c>
      <c r="F220" s="1" t="s">
        <v>453</v>
      </c>
      <c r="G220" s="4" t="s">
        <v>454</v>
      </c>
      <c r="H220" s="1" t="s">
        <v>75</v>
      </c>
    </row>
    <row r="221" spans="1:8" x14ac:dyDescent="0.2">
      <c r="A221" s="1">
        <v>203023</v>
      </c>
      <c r="B221" s="1" t="s">
        <v>529</v>
      </c>
      <c r="C221" s="1" t="s">
        <v>139</v>
      </c>
      <c r="D221" s="1" t="s">
        <v>435</v>
      </c>
      <c r="E221" s="1" t="s">
        <v>140</v>
      </c>
      <c r="F221" s="1" t="s">
        <v>455</v>
      </c>
      <c r="G221" s="1" t="s">
        <v>141</v>
      </c>
      <c r="H221" s="1" t="s">
        <v>69</v>
      </c>
    </row>
    <row r="222" spans="1:8" x14ac:dyDescent="0.2">
      <c r="A222" s="1">
        <v>203023</v>
      </c>
      <c r="B222" s="1" t="s">
        <v>529</v>
      </c>
      <c r="C222" s="1" t="s">
        <v>139</v>
      </c>
      <c r="D222" s="1" t="s">
        <v>435</v>
      </c>
      <c r="E222" s="1" t="s">
        <v>140</v>
      </c>
      <c r="F222" s="1" t="s">
        <v>456</v>
      </c>
      <c r="G222" s="1" t="s">
        <v>141</v>
      </c>
      <c r="H222" s="1" t="s">
        <v>90</v>
      </c>
    </row>
    <row r="223" spans="1:8" x14ac:dyDescent="0.2">
      <c r="A223" s="1">
        <v>203023</v>
      </c>
      <c r="B223" s="1" t="s">
        <v>529</v>
      </c>
      <c r="C223" s="1" t="s">
        <v>139</v>
      </c>
      <c r="D223" s="1" t="s">
        <v>435</v>
      </c>
      <c r="E223" s="1" t="s">
        <v>140</v>
      </c>
      <c r="F223" s="1" t="s">
        <v>457</v>
      </c>
      <c r="G223" s="1" t="s">
        <v>141</v>
      </c>
      <c r="H223" s="1" t="s">
        <v>72</v>
      </c>
    </row>
    <row r="224" spans="1:8" ht="192" x14ac:dyDescent="0.2">
      <c r="A224" s="1">
        <v>203023</v>
      </c>
      <c r="B224" s="1" t="s">
        <v>529</v>
      </c>
      <c r="C224" s="1" t="s">
        <v>139</v>
      </c>
      <c r="D224" s="1" t="s">
        <v>435</v>
      </c>
      <c r="E224" s="1" t="s">
        <v>140</v>
      </c>
      <c r="F224" s="4" t="s">
        <v>458</v>
      </c>
      <c r="G224" s="1" t="s">
        <v>141</v>
      </c>
      <c r="H224" s="1" t="s">
        <v>111</v>
      </c>
    </row>
    <row r="225" spans="1:8" ht="176" x14ac:dyDescent="0.2">
      <c r="A225" s="1">
        <v>203023</v>
      </c>
      <c r="B225" s="1" t="s">
        <v>529</v>
      </c>
      <c r="C225" s="1" t="s">
        <v>139</v>
      </c>
      <c r="D225" s="1" t="s">
        <v>435</v>
      </c>
      <c r="E225" s="1" t="s">
        <v>140</v>
      </c>
      <c r="F225" s="4" t="s">
        <v>459</v>
      </c>
      <c r="G225" s="1" t="s">
        <v>141</v>
      </c>
      <c r="H225" s="1" t="s">
        <v>100</v>
      </c>
    </row>
    <row r="226" spans="1:8" ht="320" x14ac:dyDescent="0.2">
      <c r="A226" s="1">
        <v>203023</v>
      </c>
      <c r="B226" s="1" t="s">
        <v>529</v>
      </c>
      <c r="C226" s="1" t="s">
        <v>139</v>
      </c>
      <c r="D226" s="1" t="s">
        <v>435</v>
      </c>
      <c r="E226" s="1" t="s">
        <v>140</v>
      </c>
      <c r="F226" s="4" t="s">
        <v>460</v>
      </c>
      <c r="G226" s="1" t="s">
        <v>141</v>
      </c>
      <c r="H226" s="1" t="s">
        <v>90</v>
      </c>
    </row>
    <row r="227" spans="1:8" ht="224" x14ac:dyDescent="0.2">
      <c r="A227" s="1">
        <v>203023</v>
      </c>
      <c r="B227" s="1" t="s">
        <v>529</v>
      </c>
      <c r="C227" s="1" t="s">
        <v>139</v>
      </c>
      <c r="D227" s="1" t="s">
        <v>435</v>
      </c>
      <c r="E227" s="1" t="s">
        <v>140</v>
      </c>
      <c r="F227" s="4" t="s">
        <v>461</v>
      </c>
      <c r="G227" s="1" t="s">
        <v>462</v>
      </c>
      <c r="H227" s="1" t="s">
        <v>80</v>
      </c>
    </row>
    <row r="228" spans="1:8" ht="304" x14ac:dyDescent="0.2">
      <c r="A228" s="1">
        <v>203023</v>
      </c>
      <c r="B228" s="1" t="s">
        <v>529</v>
      </c>
      <c r="C228" s="1" t="s">
        <v>139</v>
      </c>
      <c r="D228" s="1" t="s">
        <v>435</v>
      </c>
      <c r="E228" s="1" t="s">
        <v>140</v>
      </c>
      <c r="F228" s="4" t="s">
        <v>463</v>
      </c>
      <c r="G228" s="1" t="s">
        <v>464</v>
      </c>
      <c r="H228" s="1" t="s">
        <v>95</v>
      </c>
    </row>
    <row r="229" spans="1:8" ht="224" x14ac:dyDescent="0.2">
      <c r="A229" s="1">
        <v>203023</v>
      </c>
      <c r="B229" s="1" t="s">
        <v>529</v>
      </c>
      <c r="C229" s="1" t="s">
        <v>139</v>
      </c>
      <c r="D229" s="1" t="s">
        <v>435</v>
      </c>
      <c r="E229" s="1" t="s">
        <v>140</v>
      </c>
      <c r="F229" s="4" t="s">
        <v>465</v>
      </c>
      <c r="G229" s="1" t="s">
        <v>466</v>
      </c>
      <c r="H229" s="1" t="s">
        <v>88</v>
      </c>
    </row>
    <row r="230" spans="1:8" ht="288" x14ac:dyDescent="0.2">
      <c r="A230" s="1">
        <v>203023</v>
      </c>
      <c r="B230" s="1" t="s">
        <v>529</v>
      </c>
      <c r="C230" s="1" t="s">
        <v>139</v>
      </c>
      <c r="D230" s="1" t="s">
        <v>435</v>
      </c>
      <c r="E230" s="1" t="s">
        <v>140</v>
      </c>
      <c r="F230" s="4" t="s">
        <v>467</v>
      </c>
      <c r="G230" s="1" t="s">
        <v>468</v>
      </c>
      <c r="H230" s="1" t="s">
        <v>100</v>
      </c>
    </row>
    <row r="231" spans="1:8" ht="96" x14ac:dyDescent="0.2">
      <c r="A231" s="1">
        <v>203023</v>
      </c>
      <c r="B231" s="1" t="s">
        <v>529</v>
      </c>
      <c r="C231" s="1" t="s">
        <v>139</v>
      </c>
      <c r="D231" s="1" t="s">
        <v>435</v>
      </c>
      <c r="E231" s="1" t="s">
        <v>140</v>
      </c>
      <c r="F231" s="4" t="s">
        <v>469</v>
      </c>
      <c r="G231" s="1" t="s">
        <v>470</v>
      </c>
      <c r="H231" s="1" t="s">
        <v>102</v>
      </c>
    </row>
    <row r="232" spans="1:8" x14ac:dyDescent="0.2">
      <c r="A232" s="1">
        <v>203023</v>
      </c>
      <c r="B232" s="1" t="s">
        <v>529</v>
      </c>
      <c r="C232" s="1" t="s">
        <v>123</v>
      </c>
      <c r="D232" s="1" t="s">
        <v>473</v>
      </c>
      <c r="E232" s="1" t="s">
        <v>474</v>
      </c>
      <c r="F232" s="1" t="s">
        <v>475</v>
      </c>
      <c r="G232" s="1" t="s">
        <v>476</v>
      </c>
      <c r="H232" s="1" t="s">
        <v>477</v>
      </c>
    </row>
    <row r="233" spans="1:8" x14ac:dyDescent="0.2">
      <c r="A233" s="1">
        <v>203023</v>
      </c>
      <c r="B233" s="1" t="s">
        <v>529</v>
      </c>
      <c r="C233" s="1" t="s">
        <v>123</v>
      </c>
      <c r="D233" s="1" t="s">
        <v>473</v>
      </c>
      <c r="E233" s="1" t="s">
        <v>474</v>
      </c>
      <c r="F233" s="1" t="s">
        <v>478</v>
      </c>
      <c r="G233" s="1" t="s">
        <v>479</v>
      </c>
      <c r="H233" s="1" t="s">
        <v>480</v>
      </c>
    </row>
    <row r="234" spans="1:8" x14ac:dyDescent="0.2">
      <c r="A234" s="1">
        <v>203023</v>
      </c>
      <c r="B234" s="1" t="s">
        <v>529</v>
      </c>
      <c r="C234" s="1" t="s">
        <v>123</v>
      </c>
      <c r="D234" s="1" t="s">
        <v>473</v>
      </c>
      <c r="E234" s="1" t="s">
        <v>474</v>
      </c>
      <c r="F234" s="1" t="s">
        <v>481</v>
      </c>
    </row>
    <row r="235" spans="1:8" x14ac:dyDescent="0.2">
      <c r="A235" s="1">
        <v>203023</v>
      </c>
      <c r="B235" s="1" t="s">
        <v>529</v>
      </c>
      <c r="C235" s="1" t="s">
        <v>123</v>
      </c>
      <c r="D235" s="1" t="s">
        <v>473</v>
      </c>
      <c r="E235" s="1" t="s">
        <v>474</v>
      </c>
      <c r="F235" s="1" t="s">
        <v>482</v>
      </c>
      <c r="G235" s="1" t="s">
        <v>483</v>
      </c>
      <c r="H235" s="1" t="s">
        <v>484</v>
      </c>
    </row>
    <row r="236" spans="1:8" x14ac:dyDescent="0.2">
      <c r="A236" s="1">
        <v>203023</v>
      </c>
      <c r="B236" s="1" t="s">
        <v>529</v>
      </c>
      <c r="C236" s="1" t="s">
        <v>123</v>
      </c>
      <c r="D236" s="1" t="s">
        <v>473</v>
      </c>
      <c r="E236" s="1" t="s">
        <v>474</v>
      </c>
      <c r="F236" s="1" t="s">
        <v>485</v>
      </c>
      <c r="G236" s="1" t="s">
        <v>486</v>
      </c>
      <c r="H236" s="1" t="s">
        <v>75</v>
      </c>
    </row>
    <row r="237" spans="1:8" x14ac:dyDescent="0.2">
      <c r="A237" s="1">
        <v>203023</v>
      </c>
      <c r="B237" s="1" t="s">
        <v>529</v>
      </c>
      <c r="C237" s="1" t="s">
        <v>123</v>
      </c>
      <c r="D237" s="1" t="s">
        <v>473</v>
      </c>
      <c r="E237" s="1" t="s">
        <v>474</v>
      </c>
      <c r="F237" s="1" t="s">
        <v>487</v>
      </c>
      <c r="G237" s="1" t="s">
        <v>488</v>
      </c>
      <c r="H237" s="1" t="s">
        <v>75</v>
      </c>
    </row>
    <row r="238" spans="1:8" x14ac:dyDescent="0.2">
      <c r="A238" s="1">
        <v>203023</v>
      </c>
      <c r="B238" s="1" t="s">
        <v>529</v>
      </c>
      <c r="C238" s="1" t="s">
        <v>123</v>
      </c>
      <c r="D238" s="1" t="s">
        <v>473</v>
      </c>
      <c r="E238" s="1" t="s">
        <v>474</v>
      </c>
      <c r="F238" s="1" t="s">
        <v>489</v>
      </c>
      <c r="G238" s="1" t="s">
        <v>490</v>
      </c>
      <c r="H238" s="1" t="s">
        <v>75</v>
      </c>
    </row>
    <row r="239" spans="1:8" x14ac:dyDescent="0.2">
      <c r="A239" s="1">
        <v>203023</v>
      </c>
      <c r="B239" s="1" t="s">
        <v>529</v>
      </c>
      <c r="C239" s="1" t="s">
        <v>123</v>
      </c>
      <c r="D239" s="1" t="s">
        <v>473</v>
      </c>
      <c r="E239" s="1" t="s">
        <v>474</v>
      </c>
      <c r="F239" s="1" t="s">
        <v>491</v>
      </c>
      <c r="G239" s="1" t="s">
        <v>492</v>
      </c>
      <c r="H239" s="1" t="s">
        <v>109</v>
      </c>
    </row>
    <row r="240" spans="1:8" x14ac:dyDescent="0.2">
      <c r="A240" s="1">
        <v>203023</v>
      </c>
      <c r="B240" s="1" t="s">
        <v>529</v>
      </c>
      <c r="C240" s="1" t="s">
        <v>123</v>
      </c>
      <c r="D240" s="1" t="s">
        <v>473</v>
      </c>
      <c r="E240" s="1" t="s">
        <v>474</v>
      </c>
      <c r="F240" s="1" t="s">
        <v>493</v>
      </c>
      <c r="G240" s="1" t="s">
        <v>494</v>
      </c>
    </row>
    <row r="241" spans="1:8" ht="409.6" x14ac:dyDescent="0.2">
      <c r="A241" s="1">
        <v>203023</v>
      </c>
      <c r="B241" s="1" t="s">
        <v>529</v>
      </c>
      <c r="C241" s="1" t="s">
        <v>130</v>
      </c>
      <c r="D241" s="1" t="s">
        <v>131</v>
      </c>
      <c r="E241" s="1" t="s">
        <v>83</v>
      </c>
      <c r="F241" s="4" t="s">
        <v>495</v>
      </c>
      <c r="G241" s="4" t="s">
        <v>496</v>
      </c>
      <c r="H241" s="4" t="s">
        <v>497</v>
      </c>
    </row>
    <row r="242" spans="1:8" ht="409.6" x14ac:dyDescent="0.2">
      <c r="A242" s="1">
        <v>203023</v>
      </c>
      <c r="B242" s="1" t="s">
        <v>529</v>
      </c>
      <c r="C242" s="1" t="s">
        <v>130</v>
      </c>
      <c r="D242" s="1" t="s">
        <v>131</v>
      </c>
      <c r="E242" s="1" t="s">
        <v>83</v>
      </c>
      <c r="F242" s="4" t="s">
        <v>498</v>
      </c>
      <c r="G242" s="4" t="s">
        <v>499</v>
      </c>
      <c r="H242" s="4" t="s">
        <v>500</v>
      </c>
    </row>
    <row r="243" spans="1:8" x14ac:dyDescent="0.2">
      <c r="A243" s="1">
        <v>203023</v>
      </c>
      <c r="B243" s="1" t="s">
        <v>529</v>
      </c>
      <c r="C243" s="1" t="s">
        <v>130</v>
      </c>
      <c r="D243" s="1" t="s">
        <v>131</v>
      </c>
      <c r="E243" s="1" t="s">
        <v>83</v>
      </c>
      <c r="F243" s="1">
        <v>0</v>
      </c>
      <c r="G243" s="1">
        <v>0</v>
      </c>
      <c r="H243" s="1">
        <v>0</v>
      </c>
    </row>
    <row r="244" spans="1:8" x14ac:dyDescent="0.2">
      <c r="A244" s="1">
        <v>203023</v>
      </c>
      <c r="B244" s="1" t="s">
        <v>529</v>
      </c>
      <c r="C244" s="1" t="s">
        <v>130</v>
      </c>
      <c r="D244" s="1" t="s">
        <v>131</v>
      </c>
      <c r="E244" s="1" t="s">
        <v>83</v>
      </c>
      <c r="F244" s="1">
        <v>0</v>
      </c>
      <c r="G244" s="1">
        <v>0</v>
      </c>
      <c r="H244" s="1">
        <v>0</v>
      </c>
    </row>
    <row r="245" spans="1:8" x14ac:dyDescent="0.2">
      <c r="A245" s="1">
        <v>203023</v>
      </c>
      <c r="B245" s="1" t="s">
        <v>529</v>
      </c>
      <c r="C245" s="1" t="s">
        <v>130</v>
      </c>
      <c r="D245" s="1" t="s">
        <v>131</v>
      </c>
      <c r="E245" s="1" t="s">
        <v>83</v>
      </c>
      <c r="F245" s="1">
        <v>0</v>
      </c>
      <c r="G245" s="1">
        <v>0</v>
      </c>
      <c r="H245" s="1">
        <v>0</v>
      </c>
    </row>
    <row r="246" spans="1:8" ht="409.6" x14ac:dyDescent="0.2">
      <c r="A246" s="1">
        <v>203023</v>
      </c>
      <c r="B246" s="1" t="s">
        <v>529</v>
      </c>
      <c r="C246" s="1" t="s">
        <v>130</v>
      </c>
      <c r="D246" s="1" t="s">
        <v>131</v>
      </c>
      <c r="E246" s="1" t="s">
        <v>83</v>
      </c>
      <c r="F246" s="4" t="s">
        <v>495</v>
      </c>
      <c r="G246" s="4" t="s">
        <v>501</v>
      </c>
      <c r="H246" s="4" t="s">
        <v>502</v>
      </c>
    </row>
    <row r="247" spans="1:8" ht="176" x14ac:dyDescent="0.2">
      <c r="A247" s="1">
        <v>203023</v>
      </c>
      <c r="B247" s="1" t="s">
        <v>529</v>
      </c>
      <c r="C247" s="1" t="s">
        <v>130</v>
      </c>
      <c r="D247" s="1" t="s">
        <v>131</v>
      </c>
      <c r="E247" s="1" t="s">
        <v>83</v>
      </c>
      <c r="F247" s="4" t="s">
        <v>503</v>
      </c>
      <c r="G247" s="4" t="s">
        <v>504</v>
      </c>
      <c r="H247" s="1" t="s">
        <v>71</v>
      </c>
    </row>
    <row r="248" spans="1:8" ht="144" x14ac:dyDescent="0.2">
      <c r="A248" s="1">
        <v>203023</v>
      </c>
      <c r="B248" s="1" t="s">
        <v>529</v>
      </c>
      <c r="C248" s="1" t="s">
        <v>130</v>
      </c>
      <c r="D248" s="1" t="s">
        <v>131</v>
      </c>
      <c r="E248" s="1" t="s">
        <v>83</v>
      </c>
      <c r="F248" s="4" t="s">
        <v>505</v>
      </c>
      <c r="G248" s="1" t="s">
        <v>506</v>
      </c>
      <c r="H248" s="1" t="s">
        <v>69</v>
      </c>
    </row>
    <row r="249" spans="1:8" ht="96" x14ac:dyDescent="0.2">
      <c r="A249" s="1">
        <v>203023</v>
      </c>
      <c r="B249" s="1" t="s">
        <v>529</v>
      </c>
      <c r="C249" s="1" t="s">
        <v>130</v>
      </c>
      <c r="D249" s="1" t="s">
        <v>131</v>
      </c>
      <c r="E249" s="1" t="s">
        <v>83</v>
      </c>
      <c r="F249" s="4" t="s">
        <v>507</v>
      </c>
      <c r="G249" s="1" t="s">
        <v>508</v>
      </c>
    </row>
    <row r="250" spans="1:8" ht="409.6" x14ac:dyDescent="0.2">
      <c r="A250" s="1">
        <v>203023</v>
      </c>
      <c r="B250" s="1" t="s">
        <v>529</v>
      </c>
      <c r="C250" s="1" t="s">
        <v>143</v>
      </c>
      <c r="D250" s="1" t="s">
        <v>144</v>
      </c>
      <c r="E250" s="1" t="s">
        <v>509</v>
      </c>
      <c r="F250" s="1" t="s">
        <v>510</v>
      </c>
      <c r="G250" s="4" t="s">
        <v>511</v>
      </c>
      <c r="H250" s="4" t="s">
        <v>512</v>
      </c>
    </row>
    <row r="251" spans="1:8" x14ac:dyDescent="0.2">
      <c r="A251" s="1">
        <v>203023</v>
      </c>
      <c r="B251" s="1" t="s">
        <v>529</v>
      </c>
      <c r="C251" s="1" t="s">
        <v>143</v>
      </c>
      <c r="D251" s="1" t="s">
        <v>144</v>
      </c>
      <c r="E251" s="1" t="s">
        <v>509</v>
      </c>
      <c r="F251" s="1" t="s">
        <v>513</v>
      </c>
      <c r="G251" s="1" t="s">
        <v>514</v>
      </c>
      <c r="H251" s="1" t="s">
        <v>515</v>
      </c>
    </row>
    <row r="252" spans="1:8" x14ac:dyDescent="0.2">
      <c r="A252" s="1">
        <v>203023</v>
      </c>
      <c r="B252" s="1" t="s">
        <v>529</v>
      </c>
      <c r="C252" s="1" t="s">
        <v>143</v>
      </c>
      <c r="D252" s="1" t="s">
        <v>144</v>
      </c>
      <c r="E252" s="1" t="s">
        <v>509</v>
      </c>
      <c r="F252" s="1" t="s">
        <v>516</v>
      </c>
      <c r="G252" s="1" t="s">
        <v>517</v>
      </c>
      <c r="H252" s="1" t="s">
        <v>518</v>
      </c>
    </row>
    <row r="253" spans="1:8" x14ac:dyDescent="0.2">
      <c r="A253" s="1">
        <v>203023</v>
      </c>
      <c r="B253" s="1" t="s">
        <v>529</v>
      </c>
      <c r="C253" s="1" t="s">
        <v>143</v>
      </c>
      <c r="D253" s="1" t="s">
        <v>144</v>
      </c>
      <c r="E253" s="1" t="s">
        <v>509</v>
      </c>
      <c r="F253" s="1" t="s">
        <v>519</v>
      </c>
      <c r="G253" s="1" t="s">
        <v>520</v>
      </c>
      <c r="H253" s="1" t="s">
        <v>521</v>
      </c>
    </row>
    <row r="254" spans="1:8" x14ac:dyDescent="0.2">
      <c r="A254" s="1">
        <v>203023</v>
      </c>
      <c r="B254" s="1" t="s">
        <v>529</v>
      </c>
      <c r="C254" s="1" t="s">
        <v>143</v>
      </c>
      <c r="D254" s="1" t="s">
        <v>144</v>
      </c>
      <c r="E254" s="1" t="s">
        <v>509</v>
      </c>
      <c r="F254" s="1" t="s">
        <v>522</v>
      </c>
    </row>
    <row r="255" spans="1:8" x14ac:dyDescent="0.2">
      <c r="A255" s="1">
        <v>203023</v>
      </c>
      <c r="B255" s="1" t="s">
        <v>529</v>
      </c>
      <c r="C255" s="1" t="s">
        <v>143</v>
      </c>
      <c r="D255" s="1" t="s">
        <v>144</v>
      </c>
      <c r="E255" s="1" t="s">
        <v>509</v>
      </c>
      <c r="F255" s="1" t="s">
        <v>523</v>
      </c>
      <c r="G255" s="1" t="s">
        <v>524</v>
      </c>
      <c r="H255" s="1" t="s">
        <v>525</v>
      </c>
    </row>
    <row r="256" spans="1:8" x14ac:dyDescent="0.2">
      <c r="A256" s="1">
        <v>203023</v>
      </c>
      <c r="B256" s="1" t="s">
        <v>529</v>
      </c>
      <c r="C256" s="1" t="s">
        <v>143</v>
      </c>
      <c r="D256" s="1" t="s">
        <v>144</v>
      </c>
      <c r="E256" s="1" t="s">
        <v>509</v>
      </c>
      <c r="F256" s="1" t="s">
        <v>526</v>
      </c>
      <c r="H256" s="1" t="s">
        <v>75</v>
      </c>
    </row>
    <row r="257" spans="1:7" x14ac:dyDescent="0.2">
      <c r="A257" s="1">
        <v>203023</v>
      </c>
      <c r="B257" s="1" t="s">
        <v>529</v>
      </c>
      <c r="C257" s="1" t="s">
        <v>143</v>
      </c>
      <c r="D257" s="1" t="s">
        <v>144</v>
      </c>
      <c r="E257" s="1" t="s">
        <v>509</v>
      </c>
      <c r="F257" s="1" t="s">
        <v>527</v>
      </c>
      <c r="G257" s="1" t="s">
        <v>528</v>
      </c>
    </row>
    <row r="258" spans="1:7" x14ac:dyDescent="0.2">
      <c r="A258" s="1">
        <v>203023</v>
      </c>
      <c r="B258" s="1" t="s">
        <v>529</v>
      </c>
      <c r="C258" s="1" t="s">
        <v>143</v>
      </c>
      <c r="D258" s="1" t="s">
        <v>144</v>
      </c>
      <c r="E258" s="1" t="s">
        <v>509</v>
      </c>
      <c r="F258" s="1" t="s">
        <v>528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H132"/>
  <sheetViews>
    <sheetView tabSelected="1" workbookViewId="0">
      <selection activeCell="D166" sqref="D166"/>
    </sheetView>
  </sheetViews>
  <sheetFormatPr baseColWidth="10" defaultRowHeight="15" x14ac:dyDescent="0.2"/>
  <cols>
    <col min="2" max="2" width="11.1640625" style="12" bestFit="1" customWidth="1"/>
    <col min="4" max="4" width="65.5" customWidth="1"/>
    <col min="5" max="5" width="12.5" style="14" customWidth="1"/>
    <col min="6" max="6" width="35.33203125" customWidth="1"/>
    <col min="7" max="7" width="34.83203125" customWidth="1"/>
    <col min="8" max="8" width="41.1640625" customWidth="1"/>
  </cols>
  <sheetData>
    <row r="1" spans="1:8" s="7" customFormat="1" x14ac:dyDescent="0.2">
      <c r="A1" s="10" t="s">
        <v>146</v>
      </c>
      <c r="B1" s="11" t="s">
        <v>147</v>
      </c>
      <c r="C1" s="10" t="s">
        <v>153</v>
      </c>
      <c r="D1" s="10" t="s">
        <v>148</v>
      </c>
      <c r="E1" s="13" t="s">
        <v>154</v>
      </c>
      <c r="F1" s="10" t="s">
        <v>145</v>
      </c>
      <c r="G1" s="10" t="s">
        <v>149</v>
      </c>
      <c r="H1" s="10" t="s">
        <v>150</v>
      </c>
    </row>
    <row r="2" spans="1:8" x14ac:dyDescent="0.2">
      <c r="A2">
        <f>+Hoja2!A2</f>
        <v>203023</v>
      </c>
      <c r="B2" s="12" t="str">
        <f>+MID(+Hoja2!B2,1,10)</f>
        <v>18/08/21</v>
      </c>
      <c r="C2">
        <f>+VLOOKUP(D2,DepMaster!$B:$C,2,FALSE)</f>
        <v>721</v>
      </c>
      <c r="D2" t="str">
        <f>+Hoja2!C2</f>
        <v>Secretaría de Salud</v>
      </c>
      <c r="E2" s="14" t="str">
        <f>+MID(Hoja2!F2,1,2)</f>
        <v>01</v>
      </c>
      <c r="F2" t="str">
        <f>+MID(Hoja2!F2,4,20)</f>
        <v>POPULAR</v>
      </c>
      <c r="G2" t="str">
        <f>+Hoja2!G2</f>
        <v xml:space="preserve">Atenciones medellín me cuida:
Dimensión Vida Saludable:  20
	Componente Salud Bucal: 139
	Dimensión Salud Mental : 85
	Dimensión Sexualidad, derechos sexuales y derechos reproductivos: 52
	Dimensión Seguridad Alimentaria y Nutricional:  75
</v>
      </c>
      <c r="H2" t="str">
        <f>+Hoja2!H2</f>
        <v>.</v>
      </c>
    </row>
    <row r="3" spans="1:8" x14ac:dyDescent="0.2">
      <c r="A3">
        <f>+Hoja2!A3</f>
        <v>203023</v>
      </c>
      <c r="B3" s="12" t="str">
        <f>+MID(+Hoja2!B3,1,10)</f>
        <v>18/08/21</v>
      </c>
      <c r="C3">
        <f>+VLOOKUP(D3,DepMaster!$B:$C,2,FALSE)</f>
        <v>721</v>
      </c>
      <c r="D3" t="str">
        <f>+Hoja2!C3</f>
        <v>Secretaría de Salud</v>
      </c>
      <c r="E3" s="14" t="str">
        <f>+MID(Hoja2!F3,1,2)</f>
        <v>02</v>
      </c>
      <c r="F3" t="str">
        <f>+MID(Hoja2!F3,4,20)</f>
        <v>SANTA CRUZ</v>
      </c>
      <c r="G3" t="str">
        <f>+Hoja2!G3</f>
        <v xml:space="preserve">Medellín me cuida:
Dimensión Vida Saludable:  104 
	Componente Salud Bucal: 115 
	Dimensión Salud Mental : 74
	Dimensión Sexualidad, derechos sexuales y derechos reproductivos: 36
	Dimensión Seguridad Alimentaria y Nutricional: 177
</v>
      </c>
      <c r="H3" t="str">
        <f>+Hoja2!H3</f>
        <v>.</v>
      </c>
    </row>
    <row r="4" spans="1:8" x14ac:dyDescent="0.2">
      <c r="A4">
        <f>+Hoja2!A4</f>
        <v>203023</v>
      </c>
      <c r="B4" s="12" t="str">
        <f>+MID(+Hoja2!B4,1,10)</f>
        <v>18/08/21</v>
      </c>
      <c r="C4">
        <f>+VLOOKUP(D4,DepMaster!$B:$C,2,FALSE)</f>
        <v>721</v>
      </c>
      <c r="D4" t="str">
        <f>+Hoja2!C4</f>
        <v>Secretaría de Salud</v>
      </c>
      <c r="E4" s="14" t="str">
        <f>+MID(Hoja2!F4,1,2)</f>
        <v>03</v>
      </c>
      <c r="F4" t="str">
        <f>+MID(Hoja2!F4,4,20)</f>
        <v>MANRIQUE</v>
      </c>
      <c r="G4" t="str">
        <f>+Hoja2!G4</f>
        <v xml:space="preserve">Dimensión Vida Saludable:  57
		Dimensión Salud Mental : 83
	Dimensión Sexualidad, derechos sexuales y derechos reproductivos: 15
	Dimensión Seguridad Alimentaria y Nutricional: 305
</v>
      </c>
      <c r="H4" t="str">
        <f>+Hoja2!H4</f>
        <v>.</v>
      </c>
    </row>
    <row r="5" spans="1:8" x14ac:dyDescent="0.2">
      <c r="A5">
        <f>+Hoja2!A5</f>
        <v>203023</v>
      </c>
      <c r="B5" s="12" t="str">
        <f>+MID(+Hoja2!B5,1,10)</f>
        <v>18/08/21</v>
      </c>
      <c r="C5">
        <f>+VLOOKUP(D5,DepMaster!$B:$C,2,FALSE)</f>
        <v>721</v>
      </c>
      <c r="D5" t="str">
        <f>+Hoja2!C5</f>
        <v>Secretaría de Salud</v>
      </c>
      <c r="E5" s="14" t="str">
        <f>+MID(Hoja2!F5,1,2)</f>
        <v>04</v>
      </c>
      <c r="F5" t="str">
        <f>+MID(Hoja2!F5,4,20)</f>
        <v>ARANJUEZ</v>
      </c>
      <c r="G5" t="str">
        <f>+Hoja2!G5</f>
        <v xml:space="preserve">Atenciones realizadas Medellín me cuida
Dimensión Vida Saludable:  19
	Componente Salud Bucal: 162
	Dimensión Salud Mental : 95
	Dimensión Sexualidad, derechos sexuales y derechos reproductivos: 6
	Dimensión Seguridad Alimentaria y Nutricional: 6
</v>
      </c>
      <c r="H5" t="str">
        <f>+Hoja2!H5</f>
        <v>.</v>
      </c>
    </row>
    <row r="6" spans="1:8" x14ac:dyDescent="0.2">
      <c r="A6">
        <f>+Hoja2!A6</f>
        <v>203023</v>
      </c>
      <c r="B6" s="12" t="str">
        <f>+MID(+Hoja2!B6,1,10)</f>
        <v>18/08/21</v>
      </c>
      <c r="C6">
        <f>+VLOOKUP(D6,DepMaster!$B:$C,2,FALSE)</f>
        <v>721</v>
      </c>
      <c r="D6" t="str">
        <f>+Hoja2!C6</f>
        <v>Secretaría de Salud</v>
      </c>
      <c r="E6" s="14" t="str">
        <f>+MID(Hoja2!F6,1,2)</f>
        <v>05</v>
      </c>
      <c r="F6" t="str">
        <f>+MID(Hoja2!F6,4,20)</f>
        <v>CASTILLA</v>
      </c>
      <c r="G6" t="str">
        <f>+Hoja2!G6</f>
        <v xml:space="preserve">Atenciones Medellín me cuida
	Dimensión Salud Mental : 14
	Dimensión Sexualidad, derechos sexuales y derechos reproductivos: 0
	Dimensión Seguridad Alimentaria y Nutricional: 6
</v>
      </c>
      <c r="H6" t="str">
        <f>+Hoja2!H6</f>
        <v>.</v>
      </c>
    </row>
    <row r="7" spans="1:8" x14ac:dyDescent="0.2">
      <c r="A7">
        <f>+Hoja2!A7</f>
        <v>203023</v>
      </c>
      <c r="B7" s="12" t="str">
        <f>+MID(+Hoja2!B7,1,10)</f>
        <v>18/08/21</v>
      </c>
      <c r="C7">
        <f>+VLOOKUP(D7,DepMaster!$B:$C,2,FALSE)</f>
        <v>721</v>
      </c>
      <c r="D7" t="str">
        <f>+Hoja2!C7</f>
        <v>Secretaría de Salud</v>
      </c>
      <c r="E7" s="14" t="str">
        <f>+MID(Hoja2!F7,1,2)</f>
        <v>06</v>
      </c>
      <c r="F7" t="str">
        <f>+MID(Hoja2!F7,4,20)</f>
        <v>DOCE DE OCTUBRE</v>
      </c>
      <c r="G7" t="str">
        <f>+Hoja2!G7</f>
        <v xml:space="preserve">Dimensión Vida Saludable:  146
	Componente Salud Bucal:  30
	Dimensión Salud Mental : 55
	Dimensión Seguridad Alimentaria y Nutricional: 242
</v>
      </c>
      <c r="H7" t="str">
        <f>+Hoja2!H7</f>
        <v>.</v>
      </c>
    </row>
    <row r="8" spans="1:8" x14ac:dyDescent="0.2">
      <c r="A8">
        <f>+Hoja2!A8</f>
        <v>203023</v>
      </c>
      <c r="B8" s="12" t="str">
        <f>+MID(+Hoja2!B8,1,10)</f>
        <v>18/08/21</v>
      </c>
      <c r="C8">
        <f>+VLOOKUP(D8,DepMaster!$B:$C,2,FALSE)</f>
        <v>721</v>
      </c>
      <c r="D8" t="str">
        <f>+Hoja2!C8</f>
        <v>Secretaría de Salud</v>
      </c>
      <c r="E8" s="14" t="str">
        <f>+MID(Hoja2!F8,1,2)</f>
        <v>07</v>
      </c>
      <c r="F8" t="str">
        <f>+MID(Hoja2!F8,4,20)</f>
        <v>ROBLEDO</v>
      </c>
      <c r="G8" t="str">
        <f>+Hoja2!G8</f>
        <v xml:space="preserve">Dimensión Vida Saludable:  7
	Componente Salud Bucal: 108
	Dimensión Salud Mental : 21
	Dimensión Sexualidad, derechos sexuales y derechos reproductivos: 10
	Dimensión Seguridad Alimentaria y Nutricional: 47
</v>
      </c>
      <c r="H8" t="str">
        <f>+Hoja2!H8</f>
        <v>.</v>
      </c>
    </row>
    <row r="9" spans="1:8" x14ac:dyDescent="0.2">
      <c r="A9">
        <f>+Hoja2!A9</f>
        <v>203023</v>
      </c>
      <c r="B9" s="12" t="str">
        <f>+MID(+Hoja2!B9,1,10)</f>
        <v>18/08/21</v>
      </c>
      <c r="C9">
        <f>+VLOOKUP(D9,DepMaster!$B:$C,2,FALSE)</f>
        <v>721</v>
      </c>
      <c r="D9" t="str">
        <f>+Hoja2!C9</f>
        <v>Secretaría de Salud</v>
      </c>
      <c r="E9" s="14" t="str">
        <f>+MID(Hoja2!F9,1,2)</f>
        <v>08</v>
      </c>
      <c r="F9" t="str">
        <f>+MID(Hoja2!F9,4,20)</f>
        <v>VILLA HERMOSA</v>
      </c>
      <c r="G9" t="str">
        <f>+Hoja2!G9</f>
        <v xml:space="preserve">Atenciones realizadas Medellín me cuida:
Dimensión Vida Saludable:  20
Dimensión Salud Mental : 70
Dimensión Sexualidad, derechos sexuales y derechos reproductivos: 23
Dimensión Seguridad Alimentaria y Nutricional: 63
</v>
      </c>
      <c r="H9" t="str">
        <f>+Hoja2!H9</f>
        <v>.</v>
      </c>
    </row>
    <row r="10" spans="1:8" x14ac:dyDescent="0.2">
      <c r="A10">
        <f>+Hoja2!A10</f>
        <v>203023</v>
      </c>
      <c r="B10" s="12" t="str">
        <f>+MID(+Hoja2!B10,1,10)</f>
        <v>18/08/21</v>
      </c>
      <c r="C10">
        <f>+VLOOKUP(D10,DepMaster!$B:$C,2,FALSE)</f>
        <v>721</v>
      </c>
      <c r="D10" t="str">
        <f>+Hoja2!C10</f>
        <v>Secretaría de Salud</v>
      </c>
      <c r="E10" s="14" t="str">
        <f>+MID(Hoja2!F10,1,2)</f>
        <v>09</v>
      </c>
      <c r="F10" t="str">
        <f>+MID(Hoja2!F10,4,20)</f>
        <v>BUENOS AIRES</v>
      </c>
      <c r="G10" t="str">
        <f>+Hoja2!G10</f>
        <v xml:space="preserve">Atenciones Medellín me cuida
Dimensión Vida Saludable:  4
	Dimensión Salud Mental : 15
	Dimensión Sexualidad, derechos sexuales y derechos reproductivos: 21
	Dimensión Seguridad Alimentaria y Nutricional: 0
</v>
      </c>
      <c r="H10" t="str">
        <f>+Hoja2!H10</f>
        <v>.</v>
      </c>
    </row>
    <row r="11" spans="1:8" x14ac:dyDescent="0.2">
      <c r="A11">
        <f>+Hoja2!A11</f>
        <v>203023</v>
      </c>
      <c r="B11" s="12" t="str">
        <f>+MID(+Hoja2!B11,1,10)</f>
        <v>18/08/21</v>
      </c>
      <c r="C11">
        <f>+VLOOKUP(D11,DepMaster!$B:$C,2,FALSE)</f>
        <v>721</v>
      </c>
      <c r="D11" t="str">
        <f>+Hoja2!C11</f>
        <v>Secretaría de Salud</v>
      </c>
      <c r="E11" s="14" t="str">
        <f>+MID(Hoja2!F11,1,2)</f>
        <v>10</v>
      </c>
      <c r="F11" t="str">
        <f>+MID(Hoja2!F11,4,20)</f>
        <v>LA CANDELARIA</v>
      </c>
      <c r="G11" t="str">
        <f>+Hoja2!G11</f>
        <v xml:space="preserve">Atenciones realizadas Medellín me cuida
Dimensión Vida Saludable:  64
Dimensión Salud Mental : 83
Dimensión Sexualidad, derechos sexuales y derechos reproductivos: 110
Dimensión Seguridad Alimentaria y Nutricional: 12
</v>
      </c>
      <c r="H11" t="str">
        <f>+Hoja2!H11</f>
        <v>.</v>
      </c>
    </row>
    <row r="12" spans="1:8" x14ac:dyDescent="0.2">
      <c r="A12">
        <f>+Hoja2!A12</f>
        <v>203023</v>
      </c>
      <c r="B12" s="12" t="str">
        <f>+MID(+Hoja2!B12,1,10)</f>
        <v>18/08/21</v>
      </c>
      <c r="C12">
        <f>+VLOOKUP(D12,DepMaster!$B:$C,2,FALSE)</f>
        <v>721</v>
      </c>
      <c r="D12" t="str">
        <f>+Hoja2!C12</f>
        <v>Secretaría de Salud</v>
      </c>
      <c r="E12" s="14" t="str">
        <f>+MID(Hoja2!F12,1,2)</f>
        <v>11</v>
      </c>
      <c r="F12" t="str">
        <f>+MID(Hoja2!F12,4,20)</f>
        <v>LAURELES</v>
      </c>
      <c r="G12" t="str">
        <f>+Hoja2!G12</f>
        <v xml:space="preserve">
Actividades realizadas por Medellín de cuida
	Dimensión Salud Mental : 3
		</v>
      </c>
      <c r="H12" t="str">
        <f>+Hoja2!H12</f>
        <v>.</v>
      </c>
    </row>
    <row r="13" spans="1:8" x14ac:dyDescent="0.2">
      <c r="A13">
        <f>+Hoja2!A13</f>
        <v>203023</v>
      </c>
      <c r="B13" s="12" t="str">
        <f>+MID(+Hoja2!B13,1,10)</f>
        <v>18/08/21</v>
      </c>
      <c r="C13">
        <f>+VLOOKUP(D13,DepMaster!$B:$C,2,FALSE)</f>
        <v>721</v>
      </c>
      <c r="D13" t="str">
        <f>+Hoja2!C13</f>
        <v>Secretaría de Salud</v>
      </c>
      <c r="E13" s="14" t="str">
        <f>+MID(Hoja2!F13,1,2)</f>
        <v>12</v>
      </c>
      <c r="F13" t="str">
        <f>+MID(Hoja2!F13,4,20)</f>
        <v>LA AMERICA</v>
      </c>
      <c r="G13" t="str">
        <f>+Hoja2!G13</f>
        <v xml:space="preserve">Actividades realizadas Medellín me cuida
Dimensión Vida Saludable:  2
Dimensión Salud Mental : 15
Dimensión Sexualidad, derechos sexuales y derechos reproductivos: 12
</v>
      </c>
      <c r="H13" t="str">
        <f>+Hoja2!H13</f>
        <v>.</v>
      </c>
    </row>
    <row r="14" spans="1:8" x14ac:dyDescent="0.2">
      <c r="A14">
        <f>+Hoja2!A14</f>
        <v>203023</v>
      </c>
      <c r="B14" s="12" t="str">
        <f>+MID(+Hoja2!B14,1,10)</f>
        <v>18/08/21</v>
      </c>
      <c r="C14">
        <f>+VLOOKUP(D14,DepMaster!$B:$C,2,FALSE)</f>
        <v>721</v>
      </c>
      <c r="D14" t="str">
        <f>+Hoja2!C14</f>
        <v>Secretaría de Salud</v>
      </c>
      <c r="E14" s="14" t="str">
        <f>+MID(Hoja2!F14,1,2)</f>
        <v>13</v>
      </c>
      <c r="F14" t="str">
        <f>+MID(Hoja2!F14,4,20)</f>
        <v>SAN JAVIER</v>
      </c>
      <c r="G14" t="str">
        <f>+Hoja2!G14</f>
        <v xml:space="preserve">Actividades Medellín me cuida 
Dimensión Vida Saludable:  44
Dimensión Salud Mental : 71
Dimensión Sexualidad, derechos sexuales y derechos reproductivos: 18
Dimensión Seguridad Alimentaria y Nutricional: 118
</v>
      </c>
      <c r="H14" t="str">
        <f>+Hoja2!H14</f>
        <v>.</v>
      </c>
    </row>
    <row r="15" spans="1:8" x14ac:dyDescent="0.2">
      <c r="A15">
        <f>+Hoja2!A15</f>
        <v>203023</v>
      </c>
      <c r="B15" s="12" t="str">
        <f>+MID(+Hoja2!B15,1,10)</f>
        <v>18/08/21</v>
      </c>
      <c r="C15">
        <f>+VLOOKUP(D15,DepMaster!$B:$C,2,FALSE)</f>
        <v>721</v>
      </c>
      <c r="D15" t="str">
        <f>+Hoja2!C15</f>
        <v>Secretaría de Salud</v>
      </c>
      <c r="E15" s="14" t="str">
        <f>+MID(Hoja2!F15,1,2)</f>
        <v>14</v>
      </c>
      <c r="F15" t="str">
        <f>+MID(Hoja2!F15,4,20)</f>
        <v>EL POBLADO</v>
      </c>
      <c r="G15" t="str">
        <f>+Hoja2!G15</f>
        <v xml:space="preserve">Actividades Medellín me cuida
Dimensión Salud Mental : 2
</v>
      </c>
      <c r="H15" t="str">
        <f>+Hoja2!H15</f>
        <v>.</v>
      </c>
    </row>
    <row r="16" spans="1:8" x14ac:dyDescent="0.2">
      <c r="A16">
        <f>+Hoja2!A16</f>
        <v>203023</v>
      </c>
      <c r="B16" s="12" t="str">
        <f>+MID(+Hoja2!B16,1,10)</f>
        <v>18/08/21</v>
      </c>
      <c r="C16">
        <f>+VLOOKUP(D16,DepMaster!$B:$C,2,FALSE)</f>
        <v>721</v>
      </c>
      <c r="D16" t="str">
        <f>+Hoja2!C16</f>
        <v>Secretaría de Salud</v>
      </c>
      <c r="E16" s="14" t="str">
        <f>+MID(Hoja2!F16,1,2)</f>
        <v>15</v>
      </c>
      <c r="F16" t="str">
        <f>+MID(Hoja2!F16,4,20)</f>
        <v>GUAYABAL</v>
      </c>
      <c r="G16" t="str">
        <f>+Hoja2!G16</f>
        <v xml:space="preserve">Actividades realizadas Medellín me cuida
Dimensión Salud Mental : 1
</v>
      </c>
      <c r="H16" t="str">
        <f>+Hoja2!H16</f>
        <v>.</v>
      </c>
    </row>
    <row r="17" spans="1:8" x14ac:dyDescent="0.2">
      <c r="A17">
        <f>+Hoja2!A17</f>
        <v>203023</v>
      </c>
      <c r="B17" s="12" t="str">
        <f>+MID(+Hoja2!B17,1,10)</f>
        <v>18/08/21</v>
      </c>
      <c r="C17">
        <f>+VLOOKUP(D17,DepMaster!$B:$C,2,FALSE)</f>
        <v>721</v>
      </c>
      <c r="D17" t="str">
        <f>+Hoja2!C17</f>
        <v>Secretaría de Salud</v>
      </c>
      <c r="E17" s="14" t="str">
        <f>+MID(Hoja2!F17,1,2)</f>
        <v>16</v>
      </c>
      <c r="F17" t="str">
        <f>+MID(Hoja2!F17,4,20)</f>
        <v>BELEN</v>
      </c>
      <c r="G17" t="str">
        <f>+Hoja2!G17</f>
        <v xml:space="preserve">Actividades realizadas Medellín me cuida
Dimensión Vida Saludable:  6 
Dimensión Salud Mental : 5
</v>
      </c>
      <c r="H17" t="str">
        <f>+Hoja2!H17</f>
        <v>.</v>
      </c>
    </row>
    <row r="18" spans="1:8" x14ac:dyDescent="0.2">
      <c r="A18">
        <f>+Hoja2!A18</f>
        <v>203023</v>
      </c>
      <c r="B18" s="12" t="str">
        <f>+MID(+Hoja2!B18,1,10)</f>
        <v>18/08/21</v>
      </c>
      <c r="C18">
        <f>+VLOOKUP(D18,DepMaster!$B:$C,2,FALSE)</f>
        <v>721</v>
      </c>
      <c r="D18" t="str">
        <f>+Hoja2!C18</f>
        <v>Secretaría de Salud</v>
      </c>
      <c r="E18" s="14" t="str">
        <f>+MID(Hoja2!F18,1,2)</f>
        <v>50</v>
      </c>
      <c r="F18" t="str">
        <f>+MID(Hoja2!F18,4,20)</f>
        <v>PALMITAS</v>
      </c>
      <c r="G18" t="str">
        <f>+Hoja2!G18</f>
        <v xml:space="preserve">Actividades Medellín me cuida
Dimensión Vida Saludable:  12
Componente Salud Bucal: 112
Dimensión Salud Mental : 12
Dimensión Sexualidad, derechos sexuales y derechos reproductivos: 2
</v>
      </c>
      <c r="H18" t="str">
        <f>+Hoja2!H18</f>
        <v>.</v>
      </c>
    </row>
    <row r="19" spans="1:8" x14ac:dyDescent="0.2">
      <c r="A19">
        <f>+Hoja2!A19</f>
        <v>203023</v>
      </c>
      <c r="B19" s="12" t="str">
        <f>+MID(+Hoja2!B19,1,10)</f>
        <v>18/08/21</v>
      </c>
      <c r="C19">
        <f>+VLOOKUP(D19,DepMaster!$B:$C,2,FALSE)</f>
        <v>721</v>
      </c>
      <c r="D19" t="str">
        <f>+Hoja2!C19</f>
        <v>Secretaría de Salud</v>
      </c>
      <c r="E19" s="14" t="str">
        <f>+MID(Hoja2!F19,1,2)</f>
        <v>60</v>
      </c>
      <c r="F19" t="str">
        <f>+MID(Hoja2!F19,4,20)</f>
        <v>SAN CRISTOBAL</v>
      </c>
      <c r="G19" t="str">
        <f>+Hoja2!G19</f>
        <v xml:space="preserve">Actividades Medellín me cuida
Dimensión Vida Saludable:  27
		Dimensión Salud Mental : 45
	Dimensión Sexualidad, derechos sexuales y derechos reproductivos: 7
	Dimensión Seguridad Alimentaria y Nutricional: 8 
</v>
      </c>
      <c r="H19" t="str">
        <f>+Hoja2!H19</f>
        <v>.</v>
      </c>
    </row>
    <row r="20" spans="1:8" x14ac:dyDescent="0.2">
      <c r="A20">
        <f>+Hoja2!A20</f>
        <v>203023</v>
      </c>
      <c r="B20" s="12" t="str">
        <f>+MID(+Hoja2!B20,1,10)</f>
        <v>18/08/21</v>
      </c>
      <c r="C20">
        <f>+VLOOKUP(D20,DepMaster!$B:$C,2,FALSE)</f>
        <v>721</v>
      </c>
      <c r="D20" t="str">
        <f>+Hoja2!C20</f>
        <v>Secretaría de Salud</v>
      </c>
      <c r="E20" s="14" t="str">
        <f>+MID(Hoja2!F20,1,2)</f>
        <v>70</v>
      </c>
      <c r="F20" t="str">
        <f>+MID(Hoja2!F20,4,20)</f>
        <v>ALTAVISTA</v>
      </c>
      <c r="G20" t="str">
        <f>+Hoja2!G20</f>
        <v xml:space="preserve">Actividades Medellín me cuida
Dimensión Vida Saludable:  23
Dimensión Salud Mental : 9
</v>
      </c>
      <c r="H20" t="str">
        <f>+Hoja2!H20</f>
        <v>.</v>
      </c>
    </row>
    <row r="21" spans="1:8" x14ac:dyDescent="0.2">
      <c r="A21">
        <f>+Hoja2!A21</f>
        <v>203023</v>
      </c>
      <c r="B21" s="12" t="str">
        <f>+MID(+Hoja2!B21,1,10)</f>
        <v>18/08/21</v>
      </c>
      <c r="C21">
        <f>+VLOOKUP(D21,DepMaster!$B:$C,2,FALSE)</f>
        <v>721</v>
      </c>
      <c r="D21" t="str">
        <f>+Hoja2!C21</f>
        <v>Secretaría de Salud</v>
      </c>
      <c r="E21" s="14" t="str">
        <f>+MID(Hoja2!F21,1,2)</f>
        <v>80</v>
      </c>
      <c r="F21" t="str">
        <f>+MID(Hoja2!F21,4,20)</f>
        <v>SAN ANTONIO DE PRADO</v>
      </c>
      <c r="G21" t="str">
        <f>+Hoja2!G21</f>
        <v xml:space="preserve">Actividades Medellín me cuida
Dimensión Vida Saludable:  21  
Componente Salud Bucal: 83
Dimensión Salud Mental : 81
Dimensión Sexualidad, derechos sexuales y derechos reproductivos: 26
Dimensión Seguridad Alimentaria y Nutricional: 49
</v>
      </c>
      <c r="H21" t="str">
        <f>+Hoja2!H21</f>
        <v>.</v>
      </c>
    </row>
    <row r="22" spans="1:8" x14ac:dyDescent="0.2">
      <c r="A22">
        <f>+Hoja2!A22</f>
        <v>203023</v>
      </c>
      <c r="B22" s="12" t="str">
        <f>+MID(+Hoja2!B22,1,10)</f>
        <v>18/08/21</v>
      </c>
      <c r="C22">
        <f>+VLOOKUP(D22,DepMaster!$B:$C,2,FALSE)</f>
        <v>721</v>
      </c>
      <c r="D22" t="str">
        <f>+Hoja2!C22</f>
        <v>Secretaría de Salud</v>
      </c>
      <c r="E22" s="14" t="str">
        <f>+MID(Hoja2!F22,1,2)</f>
        <v>90</v>
      </c>
      <c r="F22" t="str">
        <f>+MID(Hoja2!F22,4,20)</f>
        <v>SANTA ELENA</v>
      </c>
      <c r="G22" t="str">
        <f>+Hoja2!G22</f>
        <v xml:space="preserve">Actividades Medellín me cuida
Dimensión Vida Saludable:  23
Dimensión Sexualidad, derechos sexuales y derechos reproductivos: 0
Dimensión Seguridad Alimentaria y Nutricional: 23
</v>
      </c>
      <c r="H22" t="str">
        <f>+Hoja2!H22</f>
        <v>.</v>
      </c>
    </row>
    <row r="23" spans="1:8" x14ac:dyDescent="0.2">
      <c r="A23">
        <f>+Hoja2!A23</f>
        <v>203023</v>
      </c>
      <c r="B23" s="12" t="str">
        <f>+MID(+Hoja2!B23,1,10)</f>
        <v>18/08/21</v>
      </c>
      <c r="C23">
        <f>+VLOOKUP(D23,DepMaster!$B:$C,2,FALSE)</f>
        <v>956</v>
      </c>
      <c r="D23" t="str">
        <f>+Hoja2!C23</f>
        <v>Gerencia de Diversidades Sexuales e Identidades de Género</v>
      </c>
      <c r="E23" s="14" t="str">
        <f>+MID(Hoja2!F23,1,2)</f>
        <v>07</v>
      </c>
      <c r="F23" t="str">
        <f>+MID(Hoja2!F23,4,20)</f>
        <v>ROBLEDO</v>
      </c>
      <c r="G23" t="str">
        <f>+Hoja2!G23</f>
        <v>Presentar la gerencia de diversidades sexuales, realizar un plan de trabajo para capacitar lideres y lideresas de la comunidad, articular propuestas de procesos para la población diversa de la comuna.</v>
      </c>
      <c r="H23" t="str">
        <f>+Hoja2!H23</f>
        <v>10 personas, todos y todas lideres de la comuna.</v>
      </c>
    </row>
    <row r="24" spans="1:8" x14ac:dyDescent="0.2">
      <c r="A24">
        <f>+Hoja2!A24</f>
        <v>203023</v>
      </c>
      <c r="B24" s="12" t="str">
        <f>+MID(+Hoja2!B24,1,10)</f>
        <v>18/08/21</v>
      </c>
      <c r="C24">
        <f>+VLOOKUP(D24,DepMaster!$B:$C,2,FALSE)</f>
        <v>956</v>
      </c>
      <c r="D24" t="str">
        <f>+Hoja2!C24</f>
        <v>Gerencia de Diversidades Sexuales e Identidades de Género</v>
      </c>
      <c r="E24" s="14" t="str">
        <f>+MID(Hoja2!F24,1,2)</f>
        <v>10</v>
      </c>
      <c r="F24" t="str">
        <f>+MID(Hoja2!F24,4,20)</f>
        <v>LA CANDELARIA</v>
      </c>
      <c r="G24" t="str">
        <f>+Hoja2!G24</f>
        <v>Articulación con municipios del área metropolitana para apoyar en el fortalecimiento de los procesos municipales con enfoque diferencial y de genero.</v>
      </c>
      <c r="H24" t="str">
        <f>+Hoja2!H24</f>
        <v>articulación con la secretaria de las mujeres de la estrella y la secretaria de inclusión del municipio de Bello</v>
      </c>
    </row>
    <row r="25" spans="1:8" x14ac:dyDescent="0.2">
      <c r="A25">
        <f>+Hoja2!A25</f>
        <v>203023</v>
      </c>
      <c r="B25" s="12" t="str">
        <f>+MID(+Hoja2!B25,1,10)</f>
        <v>18/08/21</v>
      </c>
      <c r="C25">
        <f>+VLOOKUP(D25,DepMaster!$B:$C,2,FALSE)</f>
        <v>956</v>
      </c>
      <c r="D25" t="str">
        <f>+Hoja2!C25</f>
        <v>Gerencia de Diversidades Sexuales e Identidades de Género</v>
      </c>
      <c r="E25" s="14" t="str">
        <f>+MID(Hoja2!F25,1,2)</f>
        <v>10</v>
      </c>
      <c r="F25" t="str">
        <f>+MID(Hoja2!F25,4,20)</f>
        <v>LA CANDELARIA</v>
      </c>
      <c r="G25" t="str">
        <f>+Hoja2!G25</f>
        <v>Posibilitar la culminación  del bachillerato a  integrantes de la población LGBTIQ+ a traves del enlace de la secretaria de educación</v>
      </c>
      <c r="H25" t="str">
        <f>+Hoja2!H25</f>
        <v xml:space="preserve">13 personas identificadas. </v>
      </c>
    </row>
    <row r="26" spans="1:8" x14ac:dyDescent="0.2">
      <c r="A26">
        <f>+Hoja2!A26</f>
        <v>203023</v>
      </c>
      <c r="B26" s="12" t="str">
        <f>+MID(+Hoja2!B26,1,10)</f>
        <v>18/08/21</v>
      </c>
      <c r="C26">
        <f>+VLOOKUP(D26,DepMaster!$B:$C,2,FALSE)</f>
        <v>956</v>
      </c>
      <c r="D26" t="str">
        <f>+Hoja2!C26</f>
        <v>Gerencia de Diversidades Sexuales e Identidades de Género</v>
      </c>
      <c r="E26" s="14" t="str">
        <f>+MID(Hoja2!F26,1,2)</f>
        <v>80</v>
      </c>
      <c r="F26" t="str">
        <f>+MID(Hoja2!F26,4,20)</f>
        <v>SAN ANTONIO DE PRADO</v>
      </c>
      <c r="G26" t="str">
        <f>+Hoja2!G26</f>
        <v>articular acciones para el mes de septiembre y octubre, con el parque biblioteca del corregimiento, se espera fortalecer dichas acciones mediante la articulación con la gerencia de corregimientos.</v>
      </c>
      <c r="H26" t="str">
        <f>+Hoja2!H26</f>
        <v>Fortalecimiento a los procesos comunitarios.</v>
      </c>
    </row>
    <row r="27" spans="1:8" x14ac:dyDescent="0.2">
      <c r="A27">
        <f>+Hoja2!A27</f>
        <v>203023</v>
      </c>
      <c r="B27" s="12" t="str">
        <f>+MID(+Hoja2!B27,1,10)</f>
        <v>18/08/21</v>
      </c>
      <c r="C27">
        <f>+VLOOKUP(D27,DepMaster!$B:$C,2,FALSE)</f>
        <v>956</v>
      </c>
      <c r="D27" t="str">
        <f>+Hoja2!C27</f>
        <v>Gerencia de Diversidades Sexuales e Identidades de Género</v>
      </c>
      <c r="E27" s="14" t="str">
        <f>+MID(Hoja2!F27,1,2)</f>
        <v>10</v>
      </c>
      <c r="F27" t="str">
        <f>+MID(Hoja2!F27,4,20)</f>
        <v>LA CANDELARIA</v>
      </c>
      <c r="G27" t="str">
        <f>+Hoja2!G27</f>
        <v>Atención a 50 personas de la población entre el proceso de acompañamiento psicológico y atención con los escuchaderos.  Impactar mas personas de la población y posicionar los escuchaderos como estrategia de la comuna, el cual es descentralizado y llega a distintas personas de la zona .</v>
      </c>
      <c r="H27" t="str">
        <f>+Hoja2!H27</f>
        <v>50 personas en atención de la población LGBTIQ para apoyar sus procesos de salud mental</v>
      </c>
    </row>
    <row r="28" spans="1:8" x14ac:dyDescent="0.2">
      <c r="A28">
        <f>+Hoja2!A28</f>
        <v>203023</v>
      </c>
      <c r="B28" s="12" t="str">
        <f>+MID(+Hoja2!B28,1,10)</f>
        <v>18/08/21</v>
      </c>
      <c r="C28">
        <f>+VLOOKUP(D28,DepMaster!$B:$C,2,FALSE)</f>
        <v>956</v>
      </c>
      <c r="D28" t="str">
        <f>+Hoja2!C28</f>
        <v>Gerencia de Diversidades Sexuales e Identidades de Género</v>
      </c>
      <c r="E28" s="14" t="str">
        <f>+MID(Hoja2!F28,1,2)</f>
        <v>10</v>
      </c>
      <c r="F28" t="str">
        <f>+MID(Hoja2!F28,4,20)</f>
        <v>LA CANDELARIA</v>
      </c>
      <c r="G28" t="str">
        <f>+Hoja2!G28</f>
        <v>Activación del centro para diversidad</v>
      </c>
      <c r="H28" t="str">
        <f>+Hoja2!H28</f>
        <v>25 personas de distintas comunas de la ciudad, el 80·% son personas que llega por primera vez al espacio y hacen parte de la población.</v>
      </c>
    </row>
    <row r="29" spans="1:8" x14ac:dyDescent="0.2">
      <c r="A29">
        <f>+Hoja2!A29</f>
        <v>203023</v>
      </c>
      <c r="B29" s="12" t="str">
        <f>+MID(+Hoja2!B29,1,10)</f>
        <v>18/08/21</v>
      </c>
      <c r="C29">
        <f>+VLOOKUP(D29,DepMaster!$B:$C,2,FALSE)</f>
        <v>723</v>
      </c>
      <c r="D29" t="str">
        <f>+Hoja2!C29</f>
        <v>Secretaría de las Mujeres</v>
      </c>
      <c r="E29" s="14" t="str">
        <f>+MID(Hoja2!F29,1,2)</f>
        <v>80</v>
      </c>
      <c r="F29" t="str">
        <f>+MID(Hoja2!F29,4,20)</f>
        <v>SAN ANTONIO DE PRADO</v>
      </c>
      <c r="G29" t="str">
        <f>+Hoja2!G29</f>
        <v>En el marco del proyecto La escuela encuentra a las mujeres, 56 mujeres del corregimiento de San Antonio de Prado recibieron medidas afirmativas para favorecer su permanencia en la escuela.</v>
      </c>
      <c r="H29" t="str">
        <f>+Hoja2!H29</f>
        <v>56 mujeres de la Institución Educativa COMULSAP: 26 en la sede Los patios y 30 en la Sede CORVIDE.</v>
      </c>
    </row>
    <row r="30" spans="1:8" x14ac:dyDescent="0.2">
      <c r="A30">
        <f>+Hoja2!A30</f>
        <v>203023</v>
      </c>
      <c r="B30" s="12" t="str">
        <f>+MID(+Hoja2!B30,1,10)</f>
        <v>18/08/21</v>
      </c>
      <c r="C30">
        <f>+VLOOKUP(D30,DepMaster!$B:$C,2,FALSE)</f>
        <v>712</v>
      </c>
      <c r="D30" t="str">
        <f>+Hoja2!C30</f>
        <v>Secretaría de Participación Ciudadana</v>
      </c>
      <c r="E30" s="14" t="str">
        <f>+MID(Hoja2!F30,1,2)</f>
        <v>01</v>
      </c>
      <c r="F30" t="str">
        <f>+MID(Hoja2!F30,4,20)</f>
        <v>POPULAR</v>
      </c>
      <c r="G30" t="str">
        <f>+Hoja2!G30</f>
        <v>"En los encuentros sectoriales, se movilizaron aproximadamente 3000 personas en 18 de las 21 Comunas y Corregimientos de la Ciudad.
Comuna 1, Popular: 7 Encuentros sectoriales en el marco de las elecciones de los CCCP
2/08/2021 Jóvenes
3/08/2021 Barrismo
4/08/2021 Afrodescendiente
5/08/2021 Comercio
6/08/2021 Infancia y Adolescencia
7/08/2021 Cultura
7/08/2021 Recreación y Deporte</v>
      </c>
      <c r="H30" t="str">
        <f>+Hoja2!H30</f>
        <v>N/A</v>
      </c>
    </row>
    <row r="31" spans="1:8" x14ac:dyDescent="0.2">
      <c r="A31">
        <f>+Hoja2!A31</f>
        <v>203023</v>
      </c>
      <c r="B31" s="12" t="str">
        <f>+MID(+Hoja2!B31,1,10)</f>
        <v>18/08/21</v>
      </c>
      <c r="C31">
        <f>+VLOOKUP(D31,DepMaster!$B:$C,2,FALSE)</f>
        <v>712</v>
      </c>
      <c r="D31" t="str">
        <f>+Hoja2!C31</f>
        <v>Secretaría de Participación Ciudadana</v>
      </c>
      <c r="E31" s="14" t="str">
        <f>+MID(Hoja2!F31,1,2)</f>
        <v>02</v>
      </c>
      <c r="F31" t="str">
        <f>+MID(Hoja2!F31,4,20)</f>
        <v>SANTA CRUZ</v>
      </c>
      <c r="G31" t="str">
        <f>+Hoja2!G31</f>
        <v xml:space="preserve">""Comuna 2, Santa Cruz: 13 Encuentros sectoriales en el marco de las elecciones de los CCCP 7/08/2021 Adulto Mayor 7/08/2021 Comunicaciones 7/08/2021 Familia y Seguridad Alimentaria 7/08/2021 Mujeres 7/08/2021 Infancia y Adolescencia 7/08/2021 Economía formal e informal 7/08/2021 Víctimas 8/08/2021 Cultura 8/08/2021 COPACOS 8/08/2021 Personas con Discapacidad 8/08/2021 Infraestructura y vivienda 8/08/2021 Salud 8/08/2021 Asociaciones de usuarios ""
</v>
      </c>
      <c r="H31" t="str">
        <f>+Hoja2!H31</f>
        <v>N/A</v>
      </c>
    </row>
    <row r="32" spans="1:8" x14ac:dyDescent="0.2">
      <c r="A32">
        <f>+Hoja2!A32</f>
        <v>203023</v>
      </c>
      <c r="B32" s="12" t="str">
        <f>+MID(+Hoja2!B32,1,10)</f>
        <v>18/08/21</v>
      </c>
      <c r="C32">
        <f>+VLOOKUP(D32,DepMaster!$B:$C,2,FALSE)</f>
        <v>712</v>
      </c>
      <c r="D32" t="str">
        <f>+Hoja2!C32</f>
        <v>Secretaría de Participación Ciudadana</v>
      </c>
      <c r="E32" s="14" t="str">
        <f>+MID(Hoja2!F32,1,2)</f>
        <v>03</v>
      </c>
      <c r="F32" t="str">
        <f>+MID(Hoja2!F32,4,20)</f>
        <v>MANRIQUE</v>
      </c>
      <c r="G32" t="str">
        <f>+Hoja2!G32</f>
        <v xml:space="preserve">""Comuna 3, Manrique: 18 Encuentros sectoriales en el marco de las elecciones de los CCCP 7/08/2021 Organizaciones sociales 7/08/2021 Movilidad 7/08/2021 Ecológico Ambiental 7/08/2021 I.E Públicas y Privadas 7/08/2021 Mujeres 7/08/2021 Salud 7/08/2021 Infancia y Adolescencia 7/08/2021 Comunicaciones 7/08/2021 Jóvenes 7/08/2021 LGTBI 7/08/2021 Cultura 7/08/2021 Artistas 7/08/2021 EGRESADOS UNIVERSITARIOS 7/08/2021 Estudiantes universitarios 7/08/2021 Veedurías 7/08/2021 DDHH 7/08/2021 Infraestructura 7/08/2021 ONG ""
</v>
      </c>
      <c r="H32" t="str">
        <f>+Hoja2!H32</f>
        <v>N/A</v>
      </c>
    </row>
    <row r="33" spans="1:8" x14ac:dyDescent="0.2">
      <c r="A33">
        <f>+Hoja2!A33</f>
        <v>203023</v>
      </c>
      <c r="B33" s="12" t="str">
        <f>+MID(+Hoja2!B33,1,10)</f>
        <v>18/08/21</v>
      </c>
      <c r="C33">
        <f>+VLOOKUP(D33,DepMaster!$B:$C,2,FALSE)</f>
        <v>712</v>
      </c>
      <c r="D33" t="str">
        <f>+Hoja2!C33</f>
        <v>Secretaría de Participación Ciudadana</v>
      </c>
      <c r="E33" s="14" t="str">
        <f>+MID(Hoja2!F33,1,2)</f>
        <v>04</v>
      </c>
      <c r="F33" t="str">
        <f>+MID(Hoja2!F33,4,20)</f>
        <v>ARANJUEZ</v>
      </c>
      <c r="G33" t="str">
        <f>+Hoja2!G33</f>
        <v xml:space="preserve">""Comuna 4, Aranjuez: 11 Encuentros sectoriales en el marco de las elecciones de los CCCP 2/08/2021 Veedurías 2/08/2021 Barrismo 3/08/2021 Recreación y Deporte 3/08/2021 Personas con Discapacidad 4/08/2021 ONG 4/08/2021 Mujeres 4/08/2021 Madres comunitarias 5/08/2021 Salud 5/08/2021 Gestión del Riesgo 6/08/2021 I.E Públicas y Privadas 6/08/2021 Afrodescendiente ""
</v>
      </c>
      <c r="H33" t="str">
        <f>+Hoja2!H33</f>
        <v>N/A</v>
      </c>
    </row>
    <row r="34" spans="1:8" x14ac:dyDescent="0.2">
      <c r="A34">
        <f>+Hoja2!A34</f>
        <v>203023</v>
      </c>
      <c r="B34" s="12" t="str">
        <f>+MID(+Hoja2!B34,1,10)</f>
        <v>18/08/21</v>
      </c>
      <c r="C34">
        <f>+VLOOKUP(D34,DepMaster!$B:$C,2,FALSE)</f>
        <v>712</v>
      </c>
      <c r="D34" t="str">
        <f>+Hoja2!C34</f>
        <v>Secretaría de Participación Ciudadana</v>
      </c>
      <c r="E34" s="14" t="str">
        <f>+MID(Hoja2!F34,1,2)</f>
        <v>05</v>
      </c>
      <c r="F34" t="str">
        <f>+MID(Hoja2!F34,4,20)</f>
        <v>CASTILLA</v>
      </c>
      <c r="G34" t="str">
        <f>+Hoja2!G34</f>
        <v xml:space="preserve">""Comuna 5, Castilla: 7 Encuentros sectoriales en el marco de las elecciones de los CCCP 2/08/2021 Organizaciones basadas en la fe 2/08/2021 Infraestructura 3/08/2021 Afrodescendiente 3/08/2021 Mujeres 3/08/2021 Personas con Discapacidad 4/08/2021 DDHH 4/08/2021 Gremios Económicos ""
</v>
      </c>
      <c r="H34" t="str">
        <f>+Hoja2!H34</f>
        <v>N/A</v>
      </c>
    </row>
    <row r="35" spans="1:8" x14ac:dyDescent="0.2">
      <c r="A35">
        <f>+Hoja2!A35</f>
        <v>203023</v>
      </c>
      <c r="B35" s="12" t="str">
        <f>+MID(+Hoja2!B35,1,10)</f>
        <v>18/08/21</v>
      </c>
      <c r="C35">
        <f>+VLOOKUP(D35,DepMaster!$B:$C,2,FALSE)</f>
        <v>712</v>
      </c>
      <c r="D35" t="str">
        <f>+Hoja2!C35</f>
        <v>Secretaría de Participación Ciudadana</v>
      </c>
      <c r="E35" s="14" t="str">
        <f>+MID(Hoja2!F35,1,2)</f>
        <v>06</v>
      </c>
      <c r="F35" t="str">
        <f>+MID(Hoja2!F35,4,20)</f>
        <v>DOCE DE OCTUBRE</v>
      </c>
      <c r="G35" t="str">
        <f>+Hoja2!G35</f>
        <v xml:space="preserve">""Comuna 6, 12 de octubre: 15 Encuentros sectoriales en el marco de las elecciones de los CCCP 3/08/2021 Estudiantes universitarios 3/08/2021 Cultura 3/08/2021 Recreación y Deporte 4/08/2021 Ecológico Ambiental 4/08/2021 Comunicaciones 4/08/2021ONG  5/08/2021 Universidades 5/08/2021 Jóvenes 5/08/2021 Personas con Discapacidad 6/08/2021 Mujeres 6/08/2021 Infancia y Adolescencia 6/08/2021 Salud 7/08/2021 Afrodescendiente 7/08/2021 Indígenas 7/08/2021 Organizaciones basadas en la fe ""
</v>
      </c>
      <c r="H35" t="str">
        <f>+Hoja2!H35</f>
        <v>N/A</v>
      </c>
    </row>
    <row r="36" spans="1:8" x14ac:dyDescent="0.2">
      <c r="A36">
        <f>+Hoja2!A36</f>
        <v>203023</v>
      </c>
      <c r="B36" s="12" t="str">
        <f>+MID(+Hoja2!B36,1,10)</f>
        <v>18/08/21</v>
      </c>
      <c r="C36">
        <f>+VLOOKUP(D36,DepMaster!$B:$C,2,FALSE)</f>
        <v>712</v>
      </c>
      <c r="D36" t="str">
        <f>+Hoja2!C36</f>
        <v>Secretaría de Participación Ciudadana</v>
      </c>
      <c r="E36" s="14" t="str">
        <f>+MID(Hoja2!F36,1,2)</f>
        <v>07</v>
      </c>
      <c r="F36" t="str">
        <f>+MID(Hoja2!F36,4,20)</f>
        <v>ROBLEDO</v>
      </c>
      <c r="G36" t="str">
        <f>+Hoja2!G36</f>
        <v xml:space="preserve">""Comuna 7, Robledo 17:  Encuentros sectoriales en el marco de las elecciones de los CCCP 3/08/2021 Víctimas 3/08/2021 Ecológico Ambiental 4/08/2021 Nodos 3 4/08/2021 DDHH 4/08/2021 Nodos 1 5/08/2021 Recreación y Deporte 5/08/2021 Nodos 5 6/08/2021 Nodos 4 6/08/2021 Adulto Mayor 6/08/2021 Cultura 6/08/2021 Comunicaciones 6/08/2021 Barrismo 7/08/2021 Veedurías 7/08/2021 Infancia y Adolescencia 7/08/2021 ONG 7/08/2021 Nodos 6 8/08/2021 Afrodescendiente ""
</v>
      </c>
      <c r="H36" t="str">
        <f>+Hoja2!H36</f>
        <v>N/A</v>
      </c>
    </row>
    <row r="37" spans="1:8" x14ac:dyDescent="0.2">
      <c r="A37">
        <f>+Hoja2!A37</f>
        <v>203023</v>
      </c>
      <c r="B37" s="12" t="str">
        <f>+MID(+Hoja2!B37,1,10)</f>
        <v>18/08/21</v>
      </c>
      <c r="C37">
        <f>+VLOOKUP(D37,DepMaster!$B:$C,2,FALSE)</f>
        <v>712</v>
      </c>
      <c r="D37" t="str">
        <f>+Hoja2!C37</f>
        <v>Secretaría de Participación Ciudadana</v>
      </c>
      <c r="E37" s="14" t="str">
        <f>+MID(Hoja2!F37,1,2)</f>
        <v>08</v>
      </c>
      <c r="F37" t="str">
        <f>+MID(Hoja2!F37,4,20)</f>
        <v>VILLA HERMOSA</v>
      </c>
      <c r="G37" t="str">
        <f>+Hoja2!G37</f>
        <v xml:space="preserve">""Comuna 8, Villa Hermosa: 4 Encuentros sectoriales en el marco de las elecciones de los CCCP: 2/08/2021 DDHH 3/08/2021 Paz, no Violencia y Víctimas 4/08/2021 Vivienda y Hábitat 5/08/2021 ONG ""
</v>
      </c>
      <c r="H37" t="str">
        <f>+Hoja2!H37</f>
        <v>N/A</v>
      </c>
    </row>
    <row r="38" spans="1:8" x14ac:dyDescent="0.2">
      <c r="A38">
        <f>+Hoja2!A38</f>
        <v>203023</v>
      </c>
      <c r="B38" s="12" t="str">
        <f>+MID(+Hoja2!B38,1,10)</f>
        <v>18/08/21</v>
      </c>
      <c r="C38">
        <f>+VLOOKUP(D38,DepMaster!$B:$C,2,FALSE)</f>
        <v>712</v>
      </c>
      <c r="D38" t="str">
        <f>+Hoja2!C38</f>
        <v>Secretaría de Participación Ciudadana</v>
      </c>
      <c r="E38" s="14" t="str">
        <f>+MID(Hoja2!F38,1,2)</f>
        <v>09</v>
      </c>
      <c r="F38" t="str">
        <f>+MID(Hoja2!F38,4,20)</f>
        <v>BUENOS AIRES</v>
      </c>
      <c r="G38" t="str">
        <f>+Hoja2!G38</f>
        <v xml:space="preserve">""Comuna 9, Buenos Aires: 13 Encuentros sectoriales en el marco de las elecciones de los CCCP 2/08/2021 COPACOS 3/08/2021 Gestión del Riesgo 6/08/2021 Mujeres 4/08/2021 Madres comunitarias 4/08/2021 DDHH 5/08/2021 Recreación y Deporte 5/08/2021 ONG 6/08/2021 Universidades 6/08/2021 Vivienda y Hábitat 7/08/2021 Personas con Discapacidad 7/08/2021 Afrodescendiente 7/08/2021 Víctimas 7/08/2021 Cultura ""
</v>
      </c>
      <c r="H38" t="str">
        <f>+Hoja2!H38</f>
        <v>N/A</v>
      </c>
    </row>
    <row r="39" spans="1:8" x14ac:dyDescent="0.2">
      <c r="A39">
        <f>+Hoja2!A39</f>
        <v>203023</v>
      </c>
      <c r="B39" s="12" t="str">
        <f>+MID(+Hoja2!B39,1,10)</f>
        <v>18/08/21</v>
      </c>
      <c r="C39">
        <f>+VLOOKUP(D39,DepMaster!$B:$C,2,FALSE)</f>
        <v>712</v>
      </c>
      <c r="D39" t="str">
        <f>+Hoja2!C39</f>
        <v>Secretaría de Participación Ciudadana</v>
      </c>
      <c r="E39" s="14" t="str">
        <f>+MID(Hoja2!F39,1,2)</f>
        <v>10</v>
      </c>
      <c r="F39" t="str">
        <f>+MID(Hoja2!F39,4,20)</f>
        <v>LA CANDELARIA</v>
      </c>
      <c r="G39" t="str">
        <f>+Hoja2!G39</f>
        <v xml:space="preserve">""Comuna 10, La Candelaria: 7 Encuentros sectoriales en el marco de las elecciones de los CCCP 2/08/2021 LGTBI 3/08/2021 Indígenas 3/08/2021 Afrodescendiente 4/08/2021 Habitante de calle 4/08/2021 Organizaciones basadas en la fe 5/08/2021 Comercio 7/08/2021 Barrismo ""
</v>
      </c>
      <c r="H39" t="str">
        <f>+Hoja2!H39</f>
        <v>N/A</v>
      </c>
    </row>
    <row r="40" spans="1:8" x14ac:dyDescent="0.2">
      <c r="A40">
        <f>+Hoja2!A40</f>
        <v>203023</v>
      </c>
      <c r="B40" s="12" t="str">
        <f>+MID(+Hoja2!B40,1,10)</f>
        <v>18/08/21</v>
      </c>
      <c r="C40">
        <f>+VLOOKUP(D40,DepMaster!$B:$C,2,FALSE)</f>
        <v>712</v>
      </c>
      <c r="D40" t="str">
        <f>+Hoja2!C40</f>
        <v>Secretaría de Participación Ciudadana</v>
      </c>
      <c r="E40" s="14" t="str">
        <f>+MID(Hoja2!F40,1,2)</f>
        <v>11</v>
      </c>
      <c r="F40" t="str">
        <f>+MID(Hoja2!F40,4,20)</f>
        <v>LAURELES</v>
      </c>
      <c r="G40" t="str">
        <f>+Hoja2!G40</f>
        <v xml:space="preserve">""Comuna 11, Laureles – Estadio: 7 Encuentros sectoriales en el marco de las elecciones de los CCCP 2/08/2021 Paz y no violencia 2/08/2021 Construcción 5/08/2021 Ecológico Ambiental 5/08/2021 Animalismo 6/08/2021 Memoria y Patrimonio 6/08/2021 Cultura 6/08/2021 DDHH ""
</v>
      </c>
      <c r="H40" t="str">
        <f>+Hoja2!H40</f>
        <v>N/A</v>
      </c>
    </row>
    <row r="41" spans="1:8" x14ac:dyDescent="0.2">
      <c r="A41">
        <f>+Hoja2!A41</f>
        <v>203023</v>
      </c>
      <c r="B41" s="12" t="str">
        <f>+MID(+Hoja2!B41,1,10)</f>
        <v>18/08/21</v>
      </c>
      <c r="C41">
        <f>+VLOOKUP(D41,DepMaster!$B:$C,2,FALSE)</f>
        <v>712</v>
      </c>
      <c r="D41" t="str">
        <f>+Hoja2!C41</f>
        <v>Secretaría de Participación Ciudadana</v>
      </c>
      <c r="E41" s="14" t="str">
        <f>+MID(Hoja2!F41,1,2)</f>
        <v>14</v>
      </c>
      <c r="F41" t="str">
        <f>+MID(Hoja2!F41,4,20)</f>
        <v>EL POBLADO</v>
      </c>
      <c r="G41" t="str">
        <f>+Hoja2!G41</f>
        <v xml:space="preserve">""Comuna 14, El Poblado: 3 Encuentros sectoriales en el marco de las elecciones de los CCCP 3/08/2021Cultura 3/08/2021 Artistas 3/08/2021 Infraestructura ""
</v>
      </c>
      <c r="H41" t="str">
        <f>+Hoja2!H41</f>
        <v>N/A</v>
      </c>
    </row>
    <row r="42" spans="1:8" x14ac:dyDescent="0.2">
      <c r="A42">
        <f>+Hoja2!A42</f>
        <v>203023</v>
      </c>
      <c r="B42" s="12" t="str">
        <f>+MID(+Hoja2!B42,1,10)</f>
        <v>18/08/21</v>
      </c>
      <c r="C42">
        <f>+VLOOKUP(D42,DepMaster!$B:$C,2,FALSE)</f>
        <v>712</v>
      </c>
      <c r="D42" t="str">
        <f>+Hoja2!C42</f>
        <v>Secretaría de Participación Ciudadana</v>
      </c>
      <c r="E42" s="14" t="str">
        <f>+MID(Hoja2!F42,1,2)</f>
        <v>15</v>
      </c>
      <c r="F42" t="str">
        <f>+MID(Hoja2!F42,4,20)</f>
        <v>GUAYABAL</v>
      </c>
      <c r="G42" t="str">
        <f>+Hoja2!G42</f>
        <v xml:space="preserve">""Comuna 15, Guayabal: 20 Encuentros sectoriales en el marco de las elecciones de los CCCP 2/08/2021 Organizaciones basadas en la fe 2/08/2021 LGTBI 2/08/2021 ONG 3/08/2021 Empresarial Económico 3/08/2021 Habitante de calle 3/08/2021 Barrismo 4/08/2021 Mujeres 4/08/2021 Personas con Discapacidad 4/08/2021 Comunicaciones 5/08/2021 Organizaciones sociales 5/08/2021 Vivienda y Hábitat 6/08/2021 Cultura 6/08/2021 Recreación y Deporte y nuevas tendencias DUNT 7/08/2021 Estudiantes universitarios 7/08/2021 Educación - Entorno Escolar 7/08/2021 Jóvenes 8/08/2021 Ecológico Ambiental 8/08/2021 Recuperadores 8/08/2021 Indígenas 8/08/2021 Transporte y movilidad ""
</v>
      </c>
      <c r="H42" t="str">
        <f>+Hoja2!H42</f>
        <v>N/A</v>
      </c>
    </row>
    <row r="43" spans="1:8" x14ac:dyDescent="0.2">
      <c r="A43">
        <f>+Hoja2!A43</f>
        <v>203023</v>
      </c>
      <c r="B43" s="12" t="str">
        <f>+MID(+Hoja2!B43,1,10)</f>
        <v>18/08/21</v>
      </c>
      <c r="C43">
        <f>+VLOOKUP(D43,DepMaster!$B:$C,2,FALSE)</f>
        <v>712</v>
      </c>
      <c r="D43" t="str">
        <f>+Hoja2!C43</f>
        <v>Secretaría de Participación Ciudadana</v>
      </c>
      <c r="E43" s="14" t="str">
        <f>+MID(Hoja2!F43,1,2)</f>
        <v>16</v>
      </c>
      <c r="F43" t="str">
        <f>+MID(Hoja2!F43,4,20)</f>
        <v>BELEN</v>
      </c>
      <c r="G43" t="str">
        <f>+Hoja2!G43</f>
        <v xml:space="preserve">""Comuna 16, Belén: 17 Encuentros sectoriales en el marco de las elecciones de los CCCP 2/08/2021 Construcción 2/08/2021 LGTBI 2/08/2021 Nodo 2 3/08/2021 Mujeres 3/08/2021 Comercio 3/08/2021 Afrodescendiente 3/08/2021 Industria 3/08/2021 Actividades económicas 4/08/2021 Comunicaciones 4/08/2021 I.E Públicas y Privadas 4/08/2021 Universidades 5/08/2021 Salud 5/08/2021 ONG 5/08/2021 Personas con Discapacidad 6/08/2021 Jóvenes 6/08/2021 Estudiantes universitarios  6/08/2021 Vivienda y Hábitat ""
</v>
      </c>
      <c r="H43" t="str">
        <f>+Hoja2!H43</f>
        <v>N/A</v>
      </c>
    </row>
    <row r="44" spans="1:8" x14ac:dyDescent="0.2">
      <c r="A44">
        <f>+Hoja2!A44</f>
        <v>203023</v>
      </c>
      <c r="B44" s="12" t="str">
        <f>+MID(+Hoja2!B44,1,10)</f>
        <v>18/08/21</v>
      </c>
      <c r="C44">
        <f>+VLOOKUP(D44,DepMaster!$B:$C,2,FALSE)</f>
        <v>712</v>
      </c>
      <c r="D44" t="str">
        <f>+Hoja2!C44</f>
        <v>Secretaría de Participación Ciudadana</v>
      </c>
      <c r="E44" s="14" t="str">
        <f>+MID(Hoja2!F44,1,2)</f>
        <v>50</v>
      </c>
      <c r="F44" t="str">
        <f>+MID(Hoja2!F44,4,20)</f>
        <v>PALMITAS</v>
      </c>
      <c r="G44" t="str">
        <f>+Hoja2!G44</f>
        <v xml:space="preserve">""Corregimiento 50, San Sebastián de Palmitas:  5 Encuentros sectoriales en el marco de las elecciones de los CCCP 4/08/2021 Infancia y Adolescencia 6/08/2021 Recreación y Deporte 6/08/2021 Salud 6/08/2021 Adulto Mayor 6/08/2021 Personas con Discapacidad ""
</v>
      </c>
      <c r="H44" t="str">
        <f>+Hoja2!H44</f>
        <v>N/A</v>
      </c>
    </row>
    <row r="45" spans="1:8" x14ac:dyDescent="0.2">
      <c r="A45">
        <f>+Hoja2!A45</f>
        <v>203023</v>
      </c>
      <c r="B45" s="12" t="str">
        <f>+MID(+Hoja2!B45,1,10)</f>
        <v>18/08/21</v>
      </c>
      <c r="C45">
        <f>+VLOOKUP(D45,DepMaster!$B:$C,2,FALSE)</f>
        <v>712</v>
      </c>
      <c r="D45" t="str">
        <f>+Hoja2!C45</f>
        <v>Secretaría de Participación Ciudadana</v>
      </c>
      <c r="E45" s="14" t="str">
        <f>+MID(Hoja2!F45,1,2)</f>
        <v>70</v>
      </c>
      <c r="F45" t="str">
        <f>+MID(Hoja2!F45,4,20)</f>
        <v>ALTAVISTA</v>
      </c>
      <c r="G45" t="str">
        <f>+Hoja2!G45</f>
        <v xml:space="preserve">""Corregimiento 70, Altavista: 10 Encuentros sectoriales en el marco de las elecciones de los CCCP 5/08/2021 Acueductos veredales 3/08/2021 Estudiantes universitarios 3/08/2021 Víctimas 3/08/2021 Emprendimiento 4/08/2021 Adulto Mayor 6/08/2021 Infancia y Adolescencia 6/08/2021 Personas con Discapacidad 7/08/2021 Jóvenes 7/08/2021 TERRITORIAL (ZONA, CUENCA, NODO, VEREDA, BARRIO) 7/08/2021 Microcuenca Centralidad ""
</v>
      </c>
      <c r="H45" t="str">
        <f>+Hoja2!H45</f>
        <v>N/A</v>
      </c>
    </row>
    <row r="46" spans="1:8" x14ac:dyDescent="0.2">
      <c r="A46">
        <f>+Hoja2!A46</f>
        <v>203023</v>
      </c>
      <c r="B46" s="12" t="str">
        <f>+MID(+Hoja2!B46,1,10)</f>
        <v>18/08/21</v>
      </c>
      <c r="C46">
        <f>+VLOOKUP(D46,DepMaster!$B:$C,2,FALSE)</f>
        <v>712</v>
      </c>
      <c r="D46" t="str">
        <f>+Hoja2!C46</f>
        <v>Secretaría de Participación Ciudadana</v>
      </c>
      <c r="E46" s="14" t="str">
        <f>+MID(Hoja2!F46,1,2)</f>
        <v>80</v>
      </c>
      <c r="F46" t="str">
        <f>+MID(Hoja2!F46,4,20)</f>
        <v>SAN ANTONIO DE PRADO</v>
      </c>
      <c r="G46" t="str">
        <f>+Hoja2!G46</f>
        <v xml:space="preserve">""Corregimiento 80, San Antonio de Prado: 20 Encuentros sectoriales en el marco de las elecciones de los CCCP 2/08/2021 Construcción e Industria 2/08/2021 Juntas de vivienda comunitaria 2/08/2021 Comercio 3/08/2021 Organizaciones basadas en la fe 3/08/2021 Mujeres 3/08/2021 Personas con Discapacidad 4/08/2021 Indígenas 4/08/2021 Víctimas 4/08/2021 Paz No Violencia y DDHH 5/08/2021 Actividades económicas 5/08/2021 Salud 5/08/2021 Economía informal 6/08/2021 Campesinos 6/08/2021 Jóvenes 6/08/2021 Nodo 5 7/08/2021 Nodo 1 7/08/2021 Nodo 2 7/08/2021 Nodo 3 7/08/2021 Nodo 4 5/08/2021 Adulto Mayor ""
</v>
      </c>
      <c r="H46" t="str">
        <f>+Hoja2!H46</f>
        <v>N/A</v>
      </c>
    </row>
    <row r="47" spans="1:8" x14ac:dyDescent="0.2">
      <c r="A47">
        <f>+Hoja2!A47</f>
        <v>203023</v>
      </c>
      <c r="B47" s="12" t="str">
        <f>+MID(+Hoja2!B47,1,10)</f>
        <v>18/08/21</v>
      </c>
      <c r="C47">
        <f>+VLOOKUP(D47,DepMaster!$B:$C,2,FALSE)</f>
        <v>712</v>
      </c>
      <c r="D47" t="str">
        <f>+Hoja2!C47</f>
        <v>Secretaría de Participación Ciudadana</v>
      </c>
      <c r="E47" s="14" t="str">
        <f>+MID(Hoja2!F47,1,2)</f>
        <v>90</v>
      </c>
      <c r="F47" t="str">
        <f>+MID(Hoja2!F47,4,20)</f>
        <v>SANTA ELENA</v>
      </c>
      <c r="G47" t="str">
        <f>+Hoja2!G47</f>
        <v xml:space="preserve">""Corregimiento 90, Santa Elena: 9 Encuentros sectoriales en el marco de las elecciones de los CCCP 3/08/2021 Turismo 3/08/2021 Vereda Piedra Gorda 3/08/2021 I.E Públicas y Privadas 4/08/2021 Mujeres 4/08/2021 Personas con Discapacidad 4/08/2021 Cultura 5/08/2021 Movilidad  5/08/2021 Transporte 6/08/2021 Vereda Barro Blanco ""
</v>
      </c>
      <c r="H47" t="str">
        <f>+Hoja2!H47</f>
        <v>N/A</v>
      </c>
    </row>
    <row r="48" spans="1:8" x14ac:dyDescent="0.2">
      <c r="A48">
        <f>+Hoja2!A48</f>
        <v>203023</v>
      </c>
      <c r="B48" s="12" t="str">
        <f>+MID(+Hoja2!B48,1,10)</f>
        <v>18/08/21</v>
      </c>
      <c r="C48">
        <f>+VLOOKUP(D48,DepMaster!$B:$C,2,FALSE)</f>
        <v>751</v>
      </c>
      <c r="D48" t="str">
        <f>+Hoja2!C48</f>
        <v>Secretaría de Desarrollo Económico</v>
      </c>
      <c r="E48" s="14" t="str">
        <f>+MID(Hoja2!F48,1,2)</f>
        <v>01</v>
      </c>
      <c r="F48" t="str">
        <f>+MID(Hoja2!F48,4,20)</f>
        <v>POPULAR</v>
      </c>
      <c r="G48" t="str">
        <f>+Hoja2!G48</f>
        <v>Se les dicta una charla a los comerciantes de la noche (Bares), de la comuna 1, por solicitud de un líder de la zona, donde se socializa la línea de crédito del Banco de las Oportunidades y la línea de crédito Medellín Cuida mi Negocio (Línea de crédito para Confeccionistas, Bares y Restaurantes), que se tiene en convenio con la CFA- Cooperativa Financiera de Antioquia.</v>
      </c>
      <c r="H48" t="str">
        <f>+Hoja2!H48</f>
        <v>Sin cifras</v>
      </c>
    </row>
    <row r="49" spans="1:8" x14ac:dyDescent="0.2">
      <c r="A49">
        <f>+Hoja2!A49</f>
        <v>203023</v>
      </c>
      <c r="B49" s="12" t="str">
        <f>+MID(+Hoja2!B49,1,10)</f>
        <v>18/08/21</v>
      </c>
      <c r="C49">
        <f>+VLOOKUP(D49,DepMaster!$B:$C,2,FALSE)</f>
        <v>751</v>
      </c>
      <c r="D49" t="str">
        <f>+Hoja2!C49</f>
        <v>Secretaría de Desarrollo Económico</v>
      </c>
      <c r="E49" s="14" t="str">
        <f>+MID(Hoja2!F49,1,2)</f>
        <v>16</v>
      </c>
      <c r="F49" t="str">
        <f>+MID(Hoja2!F49,4,20)</f>
        <v>BELEN</v>
      </c>
      <c r="G49" t="str">
        <f>+Hoja2!G49</f>
        <v>Desde el Banco de las  Oportunidades se participó en el Consejo Comunal y Corregimental de Planeación- CCCP en la comuna 16 (Belén)  aportando sobre la temática “Actividad Económica”</v>
      </c>
      <c r="H49" t="str">
        <f>+Hoja2!H49</f>
        <v>Sin cifras</v>
      </c>
    </row>
    <row r="50" spans="1:8" x14ac:dyDescent="0.2">
      <c r="A50">
        <f>+Hoja2!A50</f>
        <v>203023</v>
      </c>
      <c r="B50" s="12" t="str">
        <f>+MID(+Hoja2!B50,1,10)</f>
        <v>18/08/21</v>
      </c>
      <c r="C50">
        <f>+VLOOKUP(D50,DepMaster!$B:$C,2,FALSE)</f>
        <v>751</v>
      </c>
      <c r="D50" t="str">
        <f>+Hoja2!C50</f>
        <v>Secretaría de Desarrollo Económico</v>
      </c>
      <c r="E50" s="14" t="str">
        <f>+MID(Hoja2!F50,1,2)</f>
        <v>80</v>
      </c>
      <c r="F50" t="str">
        <f>+MID(Hoja2!F50,4,20)</f>
        <v>SAN ANTONIO DE PRADO</v>
      </c>
      <c r="G50" t="str">
        <f>+Hoja2!G50</f>
        <v>Desde el Banco de las  Oportunidades se participó en el Consejo Comunal y Corregimental de Planeación- CCCP en la comuna 80 (Corregimiento San Antonio de Prado), aportando sobre la temática “Actividad Económica”</v>
      </c>
      <c r="H50" t="str">
        <f>+Hoja2!H50</f>
        <v>sin cifras</v>
      </c>
    </row>
    <row r="51" spans="1:8" x14ac:dyDescent="0.2">
      <c r="A51">
        <f>+Hoja2!A51</f>
        <v>203023</v>
      </c>
      <c r="B51" s="12" t="str">
        <f>+MID(+Hoja2!B51,1,10)</f>
        <v>18/08/21</v>
      </c>
      <c r="C51">
        <f>+VLOOKUP(D51,DepMaster!$B:$C,2,FALSE)</f>
        <v>751</v>
      </c>
      <c r="D51" t="str">
        <f>+Hoja2!C51</f>
        <v>Secretaría de Desarrollo Económico</v>
      </c>
      <c r="E51" s="14" t="str">
        <f>+MID(Hoja2!F51,1,2)</f>
        <v>04</v>
      </c>
      <c r="F51" t="str">
        <f>+MID(Hoja2!F51,4,20)</f>
        <v>ARANJUEZ</v>
      </c>
      <c r="G51" t="str">
        <f>+Hoja2!G51</f>
        <v xml:space="preserve">Se realizó la gestión y logística necesarias para participar en la oferta de servicios del ISVIMED el día 10 de agosto, que contó con la participación de la Oficina Pública del Empleo - OPE y toda la mesa institucional de la comuna 4 en el parque de Aranjuez </v>
      </c>
      <c r="H51" t="str">
        <f>+Hoja2!H51</f>
        <v>sin cifras</v>
      </c>
    </row>
    <row r="52" spans="1:8" x14ac:dyDescent="0.2">
      <c r="A52">
        <f>+Hoja2!A52</f>
        <v>203023</v>
      </c>
      <c r="B52" s="12" t="str">
        <f>+MID(+Hoja2!B52,1,10)</f>
        <v>18/08/21</v>
      </c>
      <c r="C52">
        <f>+VLOOKUP(D52,DepMaster!$B:$C,2,FALSE)</f>
        <v>751</v>
      </c>
      <c r="D52" t="str">
        <f>+Hoja2!C52</f>
        <v>Secretaría de Desarrollo Económico</v>
      </c>
      <c r="E52" s="14" t="str">
        <f>+MID(Hoja2!F52,1,2)</f>
        <v>14</v>
      </c>
      <c r="F52" t="str">
        <f>+MID(Hoja2!F52,4,20)</f>
        <v>EL POBLADO</v>
      </c>
      <c r="G52" t="str">
        <f>+Hoja2!G52</f>
        <v>Se realiza logística para el evento “Bazar Vía Primavera” donde se vincularán algunos empresarios que hacen parte de la estrategia Compra Hecho en Medellín, la cual se llevará a cabo el 14 de agosto, evento que se desarrollará en la comuna 14 Poblado, con la corporación vía primavera. Este evento estará apoyado por la Secretaría de Desarrollo Económico.</v>
      </c>
      <c r="H52" t="str">
        <f>+Hoja2!H52</f>
        <v>Sin cifras</v>
      </c>
    </row>
    <row r="53" spans="1:8" x14ac:dyDescent="0.2">
      <c r="A53">
        <f>+Hoja2!A53</f>
        <v>203023</v>
      </c>
      <c r="B53" s="12" t="str">
        <f>+MID(+Hoja2!B53,1,10)</f>
        <v>18/08/21</v>
      </c>
      <c r="C53">
        <f>+VLOOKUP(D53,DepMaster!$B:$C,2,FALSE)</f>
        <v>752</v>
      </c>
      <c r="D53" t="str">
        <f>+Hoja2!C53</f>
        <v>Secretaria de Innovación Digital</v>
      </c>
      <c r="E53" s="14" t="str">
        <f>+MID(Hoja2!F53,1,2)</f>
        <v>13</v>
      </c>
      <c r="F53" t="str">
        <f>+MID(Hoja2!F53,4,20)</f>
        <v>SAN JAVIER</v>
      </c>
      <c r="G53" t="str">
        <f>+Hoja2!G53</f>
        <v>Avance en la instalación de piloto de Autopista Digital</v>
      </c>
      <c r="H53" t="str">
        <f>+Hoja2!H53</f>
        <v>Hogares: 595,359
Comunas: 13</v>
      </c>
    </row>
    <row r="54" spans="1:8" x14ac:dyDescent="0.2">
      <c r="A54">
        <f>+Hoja2!A54</f>
        <v>203023</v>
      </c>
      <c r="B54" s="12" t="str">
        <f>+MID(+Hoja2!B54,1,10)</f>
        <v>18/08/21</v>
      </c>
      <c r="C54">
        <f>+VLOOKUP(D54,DepMaster!$B:$C,2,FALSE)</f>
        <v>752</v>
      </c>
      <c r="D54" t="str">
        <f>+Hoja2!C54</f>
        <v>Secretaria de Innovación Digital</v>
      </c>
      <c r="E54" s="14" t="str">
        <f>+MID(Hoja2!F54,1,2)</f>
        <v>50</v>
      </c>
      <c r="F54" t="str">
        <f>+MID(Hoja2!F54,4,20)</f>
        <v>PALMITAS</v>
      </c>
      <c r="G54" t="str">
        <f>+Hoja2!G54</f>
        <v>Servicios de conectividad a Internet mediante Prueba Piloto del servicio White Space</v>
      </c>
      <c r="H54" t="str">
        <f>+Hoja2!H54</f>
        <v>4 hogares (16 personas)</v>
      </c>
    </row>
    <row r="55" spans="1:8" x14ac:dyDescent="0.2">
      <c r="A55">
        <f>+Hoja2!A55</f>
        <v>203023</v>
      </c>
      <c r="B55" s="12" t="str">
        <f>+MID(+Hoja2!B55,1,10)</f>
        <v>18/08/21</v>
      </c>
      <c r="C55">
        <f>+VLOOKUP(D55,DepMaster!$B:$C,2,FALSE)</f>
        <v>762</v>
      </c>
      <c r="D55" t="str">
        <f>+Hoja2!C55</f>
        <v>Secretaría de Gestión y Control Territorial</v>
      </c>
      <c r="E55" s="14" t="str">
        <f>+MID(Hoja2!F55,1,2)</f>
        <v>01</v>
      </c>
      <c r="F55" t="str">
        <f>+MID(Hoja2!F55,4,20)</f>
        <v>POPULAR</v>
      </c>
      <c r="G55" t="str">
        <f>+Hoja2!G55</f>
        <v xml:space="preserve">Proceso de Remoción: Permite la recuperación de espacio público para la ciudadanía, ejerciendo el control territorial. </v>
      </c>
      <c r="H55" t="str">
        <f>+Hoja2!H55</f>
        <v>30 Metros cuadrados de espacio público recuperados mediante 1 proceso de remoción.</v>
      </c>
    </row>
    <row r="56" spans="1:8" x14ac:dyDescent="0.2">
      <c r="A56">
        <f>+Hoja2!A56</f>
        <v>203023</v>
      </c>
      <c r="B56" s="12" t="str">
        <f>+MID(+Hoja2!B56,1,10)</f>
        <v>18/08/21</v>
      </c>
      <c r="C56">
        <f>+VLOOKUP(D56,DepMaster!$B:$C,2,FALSE)</f>
        <v>762</v>
      </c>
      <c r="D56" t="str">
        <f>+Hoja2!C56</f>
        <v>Secretaría de Gestión y Control Territorial</v>
      </c>
      <c r="E56" s="14" t="str">
        <f>+MID(Hoja2!F56,1,2)</f>
        <v>05</v>
      </c>
      <c r="F56" t="str">
        <f>+MID(Hoja2!F56,4,20)</f>
        <v>CASTILLA</v>
      </c>
      <c r="G56" t="str">
        <f>+Hoja2!G56</f>
        <v xml:space="preserve">Proceso de Remoción: Permite la recuperación de espacio público para la ciudadanía, ejerciendo el control territorial. </v>
      </c>
      <c r="H56" t="str">
        <f>+Hoja2!H56</f>
        <v>10 Metros cuadrados de espacio público recuperados mediante 1 proceso de remoción.</v>
      </c>
    </row>
    <row r="57" spans="1:8" x14ac:dyDescent="0.2">
      <c r="A57">
        <f>+Hoja2!A57</f>
        <v>203023</v>
      </c>
      <c r="B57" s="12" t="str">
        <f>+MID(+Hoja2!B57,1,10)</f>
        <v>18/08/21</v>
      </c>
      <c r="C57">
        <f>+VLOOKUP(D57,DepMaster!$B:$C,2,FALSE)</f>
        <v>762</v>
      </c>
      <c r="D57" t="str">
        <f>+Hoja2!C57</f>
        <v>Secretaría de Gestión y Control Territorial</v>
      </c>
      <c r="E57" s="14" t="str">
        <f>+MID(Hoja2!F57,1,2)</f>
        <v>07</v>
      </c>
      <c r="F57" t="str">
        <f>+MID(Hoja2!F57,4,20)</f>
        <v>ROBLEDO</v>
      </c>
      <c r="G57" t="str">
        <f>+Hoja2!G57</f>
        <v xml:space="preserve">Proceso de Remoción: Permite la recuperación de espacio público para la ciudadanía, ejerciendo el control territorial. </v>
      </c>
      <c r="H57" t="str">
        <f>+Hoja2!H57</f>
        <v>595 Metros cuadrados de espacio público recuperados mediante 10 procesos de remoción.</v>
      </c>
    </row>
    <row r="58" spans="1:8" x14ac:dyDescent="0.2">
      <c r="A58">
        <f>+Hoja2!A58</f>
        <v>203023</v>
      </c>
      <c r="B58" s="12" t="str">
        <f>+MID(+Hoja2!B58,1,10)</f>
        <v>18/08/21</v>
      </c>
      <c r="C58">
        <f>+VLOOKUP(D58,DepMaster!$B:$C,2,FALSE)</f>
        <v>762</v>
      </c>
      <c r="D58" t="str">
        <f>+Hoja2!C58</f>
        <v>Secretaría de Gestión y Control Territorial</v>
      </c>
      <c r="E58" s="14" t="str">
        <f>+MID(Hoja2!F58,1,2)</f>
        <v>08</v>
      </c>
      <c r="F58" t="str">
        <f>+MID(Hoja2!F58,4,20)</f>
        <v>VILLA HERMOSA</v>
      </c>
      <c r="G58" t="str">
        <f>+Hoja2!G58</f>
        <v>Proceso de Remoción: Permite la recuperación de espacio público para la ciudadanía, ejerciendo el control territorial.</v>
      </c>
      <c r="H58" t="str">
        <f>+Hoja2!H58</f>
        <v xml:space="preserve"> 223 Metros cuadrados de espacio público recuperados mediante 7 procesos de remoción.</v>
      </c>
    </row>
    <row r="59" spans="1:8" x14ac:dyDescent="0.2">
      <c r="A59">
        <f>+Hoja2!A59</f>
        <v>203023</v>
      </c>
      <c r="B59" s="12" t="str">
        <f>+MID(+Hoja2!B59,1,10)</f>
        <v>18/08/21</v>
      </c>
      <c r="C59">
        <f>+VLOOKUP(D59,DepMaster!$B:$C,2,FALSE)</f>
        <v>762</v>
      </c>
      <c r="D59" t="str">
        <f>+Hoja2!C59</f>
        <v>Secretaría de Gestión y Control Territorial</v>
      </c>
      <c r="E59" s="14" t="str">
        <f>+MID(Hoja2!F59,1,2)</f>
        <v>60</v>
      </c>
      <c r="F59" t="str">
        <f>+MID(Hoja2!F59,4,20)</f>
        <v>SAN CRISTOBAL</v>
      </c>
      <c r="G59" t="str">
        <f>+Hoja2!G59</f>
        <v xml:space="preserve">Proceso de Remoción: Permite la recuperación de espacio público para la ciudadanía, ejerciendo el control territorial. </v>
      </c>
      <c r="H59" t="str">
        <f>+Hoja2!H59</f>
        <v>80 Metros cuadrados de espacio público recuperados mediante 1 proceso de remoción.</v>
      </c>
    </row>
    <row r="60" spans="1:8" x14ac:dyDescent="0.2">
      <c r="A60">
        <f>+Hoja2!A60</f>
        <v>203023</v>
      </c>
      <c r="B60" s="12" t="str">
        <f>+MID(+Hoja2!B60,1,10)</f>
        <v>18/08/21</v>
      </c>
      <c r="C60">
        <f>+VLOOKUP(D60,DepMaster!$B:$C,2,FALSE)</f>
        <v>762</v>
      </c>
      <c r="D60" t="str">
        <f>+Hoja2!C60</f>
        <v>Secretaría de Gestión y Control Territorial</v>
      </c>
      <c r="E60" s="14" t="str">
        <f>+MID(Hoja2!F60,1,2)</f>
        <v>80</v>
      </c>
      <c r="F60" t="str">
        <f>+MID(Hoja2!F60,4,20)</f>
        <v>SAN ANTONIO DE PRADO</v>
      </c>
      <c r="G60" t="str">
        <f>+Hoja2!G60</f>
        <v xml:space="preserve">Proceso de Remoción: Permite la recuperación de espacio público para la ciudadanía, ejerciendo el control territorial. </v>
      </c>
      <c r="H60" t="str">
        <f>+Hoja2!H60</f>
        <v>182 Metros cuadrados de espacio público recuperados mediante 8 procesos de remoción.</v>
      </c>
    </row>
    <row r="61" spans="1:8" x14ac:dyDescent="0.2">
      <c r="A61">
        <f>+Hoja2!A61</f>
        <v>203023</v>
      </c>
      <c r="B61" s="12" t="str">
        <f>+MID(+Hoja2!B61,1,10)</f>
        <v>18/08/21</v>
      </c>
      <c r="C61">
        <f>+VLOOKUP(D61,DepMaster!$B:$C,2,FALSE)</f>
        <v>762</v>
      </c>
      <c r="D61" t="str">
        <f>+Hoja2!C61</f>
        <v>Secretaría de Gestión y Control Territorial</v>
      </c>
      <c r="E61" s="14" t="str">
        <f>+MID(Hoja2!F61,1,2)</f>
        <v>90</v>
      </c>
      <c r="F61" t="str">
        <f>+MID(Hoja2!F61,4,20)</f>
        <v>SANTA ELENA</v>
      </c>
      <c r="G61" t="str">
        <f>+Hoja2!G61</f>
        <v xml:space="preserve">Proceso de Remoción: Permite la recuperación de espacio público para la ciudadanía, ejerciendo el control territorial. </v>
      </c>
      <c r="H61" t="str">
        <f>+Hoja2!H61</f>
        <v>358 Metros cuadrados de espacio público recuperados mediante 6 procesos de remoción.</v>
      </c>
    </row>
    <row r="62" spans="1:8" x14ac:dyDescent="0.2">
      <c r="A62">
        <f>+Hoja2!A62</f>
        <v>203023</v>
      </c>
      <c r="B62" s="12" t="str">
        <f>+MID(+Hoja2!B62,1,10)</f>
        <v>18/08/21</v>
      </c>
      <c r="C62">
        <f>+VLOOKUP(D62,DepMaster!$B:$C,2,FALSE)</f>
        <v>762</v>
      </c>
      <c r="D62" t="str">
        <f>+Hoja2!C62</f>
        <v>Secretaría de Gestión y Control Territorial</v>
      </c>
      <c r="E62" s="14" t="str">
        <f>+MID(Hoja2!F62,1,2)</f>
        <v>16</v>
      </c>
      <c r="F62" t="str">
        <f>+MID(Hoja2!F62,4,20)</f>
        <v>BELEN</v>
      </c>
      <c r="G62" t="str">
        <f>+Hoja2!G62</f>
        <v xml:space="preserve">Alumbrado Público: Se puso en funcionamiento el alumbrado público del Cerro de las Tres Cruces. </v>
      </c>
      <c r="H62">
        <f>+Hoja2!H62</f>
        <v>0</v>
      </c>
    </row>
    <row r="63" spans="1:8" x14ac:dyDescent="0.2">
      <c r="A63">
        <f>+Hoja2!A63</f>
        <v>203023</v>
      </c>
      <c r="B63" s="12" t="str">
        <f>+MID(+Hoja2!B63,1,10)</f>
        <v>18/08/21</v>
      </c>
      <c r="C63">
        <f>+VLOOKUP(D63,DepMaster!$B:$C,2,FALSE)</f>
        <v>732</v>
      </c>
      <c r="D63" t="str">
        <f>+Hoja2!C63</f>
        <v>Secretaría de Seguridad y Convivencia</v>
      </c>
      <c r="E63" s="14" t="str">
        <f>+MID(Hoja2!F63,1,2)</f>
        <v>01</v>
      </c>
      <c r="F63" t="str">
        <f>+MID(Hoja2!F63,4,20)</f>
        <v>POPULAR</v>
      </c>
      <c r="G63" t="str">
        <f>+Hoja2!G63</f>
        <v xml:space="preserve">-	Plan parques
-	Puesto de control
-	Se realiza visitas de tipo operativo a comercio nocturno en el barrio La Esperanza, se tiene como objetivo principal la legalización y formalización de los mismos, se logra que dos de ellos tengan documentación al día y 4 parcialmente, teniendo lo documentos faltantes en trámite, además de lograr que se mejore el ruido en la zona y la sana convivencia entre los vecinos aledaños.
-	Se inicia proceso de ornato en la estación de Metrocable Popular, logrando reducir las zonas inseguras por sus terrenos abandonados, ahora están despoblados de la maleza, permitiendo mejor visibilidad para los cuadrantes de vigilancia, además la comunidad se apropia del espacio para  los consumidores no permanezcan en el lugar.
-	Junto a Policía se realiza operativo de control de zonas seguras, obteniendo 2 capturas por ley 30.
-	El 6 de agosto en el sector Nuevo Horizonte, se realizó taller de formación en competencias a familias cuyo propósito fue fortalecer habilidades para la vida. 
</v>
      </c>
      <c r="H63" t="str">
        <f>+Hoja2!H63</f>
        <v xml:space="preserve">El 6 de agosto en el sector Nuevo Horizonte, se realizó taller de formación en competencias a familias cuyo propósito fue fortalecer habilidades para la vida. Personas impactadas: 40 </v>
      </c>
    </row>
    <row r="64" spans="1:8" x14ac:dyDescent="0.2">
      <c r="A64">
        <f>+Hoja2!A64</f>
        <v>203023</v>
      </c>
      <c r="B64" s="12" t="str">
        <f>+MID(+Hoja2!B64,1,10)</f>
        <v>18/08/21</v>
      </c>
      <c r="C64">
        <f>+VLOOKUP(D64,DepMaster!$B:$C,2,FALSE)</f>
        <v>732</v>
      </c>
      <c r="D64" t="str">
        <f>+Hoja2!C64</f>
        <v>Secretaría de Seguridad y Convivencia</v>
      </c>
      <c r="E64" s="14" t="str">
        <f>+MID(Hoja2!F64,1,2)</f>
        <v>02</v>
      </c>
      <c r="F64" t="str">
        <f>+MID(Hoja2!F64,4,20)</f>
        <v>SANTA CRUZ</v>
      </c>
      <c r="G64" t="str">
        <f>+Hoja2!G64</f>
        <v xml:space="preserve">-	Se realiza encuentro con directivas de entorno protector, jefe de núcleo, de la secretaria de Educación, PRECI con el objetivo de generar estrategias de prevención de consumo estupefacientes, violencias NNAJ, y violencia intrafamiliar identificadas como riesgo social.
-	Se realizan 2 activaciones comunitarias, fortaleciendo las campañas contra la violencia VIF y la Violencia NNAJ, con el objetivo de conocer y reflexionar en torno al derecho a una vida libre de violencia, las diferentes formas de violencias contra las mujeres, violencias NNAJ, sus mecanismos de prevención y atención como instrumentos útiles en la defensa de la vida.  Estas actividades se articulan con las Secretarías de Desarrollo Económico, Juventud,  Gestión control territorial y PRECI.
-	El 6 de agosto del 2021 se dio apertura al servicio del SISBEN en la Casa de Justicia Villa del Socorro para generar una atención necesaria y presencial a la comunidad.
-	El 6 de agosto el equipo del programa Medellín Convive la Noche visitó establecimientos con actividad económica "venta y consumo de licor” que buscan ingresar al programa. En estas visitas se sensibiliza a los comerciantes con la estrategia "Parche Seguro" la cual busca incentivar a los propietarios de los establecimientos en las buenas prácticas de autocuidado y legalidad en el marco de la reactivación económica.
-	Se realizan mediciones de ruido pedagógicas y se válida documentación de los establecimientos.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v>
      </c>
      <c r="H64" t="str">
        <f>+Hoja2!H64</f>
        <v>Se realizan mediciones de ruido pedagógicas y se válida documentación de los establecimientos, se visitan un total de 13.
Se realizan 2 activaciones comunitarias, en la cual participan 130 personas, fortaleciendo las campañas contra la violencia VIF y la Violencia NNAJ, con el objetivo de conocer y reflexionar en torno al derecho a una vida libre de violencia, las diferentes formas de violencias contra las mujeres, violencias NNAJ, sus mecanismos de prevención y atención como instrumentos útiles en la defensa de la vida.  Estas actividades se articulan con las Secretarías de Desarrollo Económico, Juventud,  Gestión control territorial y PRECI.</v>
      </c>
    </row>
    <row r="65" spans="1:8" x14ac:dyDescent="0.2">
      <c r="A65">
        <f>+Hoja2!A65</f>
        <v>203023</v>
      </c>
      <c r="B65" s="12" t="str">
        <f>+MID(+Hoja2!B65,1,10)</f>
        <v>18/08/21</v>
      </c>
      <c r="C65">
        <f>+VLOOKUP(D65,DepMaster!$B:$C,2,FALSE)</f>
        <v>732</v>
      </c>
      <c r="D65" t="str">
        <f>+Hoja2!C65</f>
        <v>Secretaría de Seguridad y Convivencia</v>
      </c>
      <c r="E65" s="14" t="str">
        <f>+MID(Hoja2!F65,1,2)</f>
        <v>03</v>
      </c>
      <c r="F65" t="str">
        <f>+MID(Hoja2!F65,4,20)</f>
        <v>MANRIQUE</v>
      </c>
      <c r="G65" t="str">
        <f>+Hoja2!G65</f>
        <v xml:space="preserve">-	Comando situacional
-	Puesto de control 
-	Se realizó  feria de servicio interinstitucional en el parque Gaitán
-	El 4 de agosto en el barrio San José de la Cima 1, la Unidad de Convivencia realiza taller de formación en competencias ciudadanas, una oportunidad para fortalecer las 4 habilidades del conciliador. 
</v>
      </c>
      <c r="H65" t="str">
        <f>+Hoja2!H65</f>
        <v>-	Se realizó  feria de servicio interinstitucional en el parque Gaitán atendiendo más de 60 personas entre adultos mayores y jóvenes.
-	El 4 de agosto en el barrio San José de la Cima 1, la Unidad de Convivencia realiza taller de formación en competencias ciudadanas, una oportunidad para fortalecer las 4 habilidades del conciliador. Personas impactadas: 35</v>
      </c>
    </row>
    <row r="66" spans="1:8" x14ac:dyDescent="0.2">
      <c r="A66">
        <f>+Hoja2!A66</f>
        <v>203023</v>
      </c>
      <c r="B66" s="12" t="str">
        <f>+MID(+Hoja2!B66,1,10)</f>
        <v>18/08/21</v>
      </c>
      <c r="C66">
        <f>+VLOOKUP(D66,DepMaster!$B:$C,2,FALSE)</f>
        <v>732</v>
      </c>
      <c r="D66" t="str">
        <f>+Hoja2!C66</f>
        <v>Secretaría de Seguridad y Convivencia</v>
      </c>
      <c r="E66" s="14" t="str">
        <f>+MID(Hoja2!F66,1,2)</f>
        <v>04</v>
      </c>
      <c r="F66" t="str">
        <f>+MID(Hoja2!F66,4,20)</f>
        <v>ARANJUEZ</v>
      </c>
      <c r="G66" t="str">
        <f>+Hoja2!G66</f>
        <v xml:space="preserve">-	Intervención interinstitucional barrio Miranda
-	Puesto de control
-	Desmonte de cambuches en el recorrido Rio
-	Se realizó campaña educativa con vendedores ambulantes de San Cayetano y la calle 92 de Aranjuez, en compañía de espacio público.
-	Del 2 al 6 de agosto,  de 9:00 a.m. a 3:00 p.m., se realizó en el Parque de los Deseos una descentralización de Servicios, jornada jurídica y Orientación al Usuario.
-	El 3 de agosto, dando cumplimiento a un compromiso asumido en el Consejo de Convivencia Ciudadana, la Unidad de Convivencia en articulación con la Policía Nacional y la Subsecretaría Operativa de Seguridad, realizó campaña pedagógica en el barrio Brasilia, sobre el Código Nacional de Seguridad y Convivencia, para reducir los comportamientos contrarios a la convivencia asociados a la ocupación indebida del espacio público.
-	El 6 de agosto, para dar respuesta a las solicitudes ciudadanas de los residentes del barrio Aranjuez, sector de la calle 92 y sector San Cayetano,  en articulación con Emvarias, se realizó jornada de sensibilización sobre la importancia de manipular y disponer adecuadamente los residuos, para así reducir los comportamientos contrarios a la convivencia y mejorar el buen vivir en el territorio. 
</v>
      </c>
      <c r="H66" t="str">
        <f>+Hoja2!H66</f>
        <v>-	El 6 de agosto, para dar respuesta a las solicitudes ciudadanas de los residentes del barrio Aranjuez, sector de la calle 92 y sector San Cayetano,  en articulación con Emvarias, se realizó jornada de sensibilización sobre la importancia de manipular y disponer adecuadamente los residuos, para así reducir los comportamientos contrarios a la convivencia y mejorar el buen vivir en el territorio. Se impactaron 100 personas.
-	El 3 de agosto, dando cumplimiento a un compromiso asumido en el Consejo de Convivencia Ciudadana, la Unidad de Convivencia en articulación con la Policía Nacional y la Subsecretaría Operativa de Seguridad, realizó campaña pedagógica en el barrio Brasilia, sobre el Código Nacional de Seguridad y Convivencia, para reducir los comportamientos contrarios a la convivencia asociados a la ocupación indebida del espacio público. Se impacta alrededor de 30 personas.
-	Del 2 al 6 de agosto,  de 9:00 a.m. a 3:00 p.m., se realizó en el Parque de los Deseos una descentralización de Servicios, jornada jurídica y Orientación al Usuario, beneficiándose 129 personas.</v>
      </c>
    </row>
    <row r="67" spans="1:8" x14ac:dyDescent="0.2">
      <c r="A67">
        <f>+Hoja2!A67</f>
        <v>203023</v>
      </c>
      <c r="B67" s="12" t="str">
        <f>+MID(+Hoja2!B67,1,10)</f>
        <v>18/08/21</v>
      </c>
      <c r="C67">
        <f>+VLOOKUP(D67,DepMaster!$B:$C,2,FALSE)</f>
        <v>732</v>
      </c>
      <c r="D67" t="str">
        <f>+Hoja2!C67</f>
        <v>Secretaría de Seguridad y Convivencia</v>
      </c>
      <c r="E67" s="14" t="str">
        <f>+MID(Hoja2!F67,1,2)</f>
        <v>05</v>
      </c>
      <c r="F67" t="str">
        <f>+MID(Hoja2!F67,4,20)</f>
        <v>CASTILLA</v>
      </c>
      <c r="G67" t="str">
        <f>+Hoja2!G67</f>
        <v xml:space="preserve">-	Puesto de control
-	Desmonte de cambuches en el recorrido Rio
-	En respuesta la comunidad del barrio Florencia quienes denunciaron construcción ilegal como mecanismo para fortalecimiento de renta criminal, se coordina intervención inmediata con Policía, Inspección y Secretaría de Control Territorial,  que permite detener inmediatamente la construcción.
-	En respuesta la comunidad del barrio Boyacá quienes denunciaron construcción ilegal de nuevo lavadero de carros como mecanismo para fortalecimiento de renta criminal, se coordina intervención inmediata con Policía, Inspección, Secretaría de Control Territorial y la Subsecretaría de Espacio Público, que permite demoler inmediatamente el avance en la construcción e incautar los elementos de construcción.
-	Se logra avanzar en la articulación con la coordinación del equipo de la agencia APP para análisis técnico y jurídico que permita atender como proyecto de aprovechamiento económico, la problemática potencial de seguridad y uso indebido de espacio público que se presenta en las celdas de parqueo del Centro Comercial Multicentro Caribe.
-	El 6 de agosto el equipo del programa Medellín Convive la Noche visitó establecimientos con actividad económica "venta y consumo de licor” que buscan ingresar al programa. En estas visitas se sensibiliza con a los comerciantes con la estrategia "Parche Seguro" la cual busca incentivar a los propietarios de los establecimientos a las buenas prácticas de autocuidado y legalidad en el marco de la reactivación económica. 
-	Se realizan mediciones de ruido pedagógicas y se válida documentación de los establecimientos.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	En el sector de Gratamira se realizó recorrido de control en articulación con Subsecretaría de Gobierno Local, Movilidad, Inclusión Social y  Policía con el fin de realizar acercamiento de sensibilización y regulación a la problemática del uso inadecuado del espacio público que se presenta con los 40 venteros no regulados de la zona donde se tuvo que intervenir verbal y por escrito la prohibición de la venta de licor.
</v>
      </c>
      <c r="H67" t="str">
        <f>+Hoja2!H67</f>
        <v>-	Se realizan mediciones de ruido pedagógicas y se válida documentación de los establecimientos, se visitan un total de 13.</v>
      </c>
    </row>
    <row r="68" spans="1:8" x14ac:dyDescent="0.2">
      <c r="A68">
        <f>+Hoja2!A68</f>
        <v>203023</v>
      </c>
      <c r="B68" s="12" t="str">
        <f>+MID(+Hoja2!B68,1,10)</f>
        <v>18/08/21</v>
      </c>
      <c r="C68">
        <f>+VLOOKUP(D68,DepMaster!$B:$C,2,FALSE)</f>
        <v>732</v>
      </c>
      <c r="D68" t="str">
        <f>+Hoja2!C68</f>
        <v>Secretaría de Seguridad y Convivencia</v>
      </c>
      <c r="E68" s="14" t="str">
        <f>+MID(Hoja2!F68,1,2)</f>
        <v>06</v>
      </c>
      <c r="F68" t="str">
        <f>+MID(Hoja2!F68,4,20)</f>
        <v>DOCE DE OCTUBRE</v>
      </c>
      <c r="G68" t="str">
        <f>+Hoja2!G68</f>
        <v xml:space="preserve">-	Plan prevención contra el hurto
-	Ante la problemática económica de la pandemia en los últimos meses se ha incrementado el uso de espacio público y rentas en la comuna 6, se articula sensibilización y acompañamiento a espacio público y recuperación de algunos espacios.
-	Se articulan actividades de prevención de hurto y denuncia con el nuevo  Mayor Alexander Garnica asignado a la estación hace pocos días.
-	En la estación García Márquez del metrocable se propone intervención con movilidad ante la circulación de motocicletas en andén peatonal, para evitar un trayecto más largo las personas utilizan el andén como (atajo) para llegar más rápido a su destino sin respetar la circulación de personas como niños, adultos y personas de avanzada edad.
-	El 6 de agosto el equipo del programa Medellín Convive la Noche visitó establecimientos con actividad económica "venta y consumo de licor” que buscan ingresar al programa. En estas visitas se sensibiliza con a los comerciantes con la estrategia "Parche Seguro" la cual busca incentivar a los propietarios de los establecimientos a las buenas prácticas de autocuidado y legalidad en el marco de la reactivación económica. Adicional a lo anterior, se realizan medicines de ruido pedagógicas y se válida documentación de los establecimientos.
</v>
      </c>
      <c r="H68" t="str">
        <f>+Hoja2!H68</f>
        <v>-	El 6 de agosto el equipo del programa Medellín Convive la Noche visitó establecimientos con actividad económica "venta y consumo de licor” que buscan ingresar al programa. En estas visitas se sensibiliza con a los comerciantes con la estrategia "Parche Seguro" la cual busca incentivar a los propietarios de los establecimientos a las buenas prácticas de autocuidado y legalidad en el marco de la reactivación económica. Adicional a lo anterior, se realizan medicines de ruido pedagógicas y se válida documentación de los establecimientos.</v>
      </c>
    </row>
    <row r="69" spans="1:8" x14ac:dyDescent="0.2">
      <c r="A69">
        <f>+Hoja2!A69</f>
        <v>203023</v>
      </c>
      <c r="B69" s="12" t="str">
        <f>+MID(+Hoja2!B69,1,10)</f>
        <v>18/08/21</v>
      </c>
      <c r="C69">
        <f>+VLOOKUP(D69,DepMaster!$B:$C,2,FALSE)</f>
        <v>732</v>
      </c>
      <c r="D69" t="str">
        <f>+Hoja2!C69</f>
        <v>Secretaría de Seguridad y Convivencia</v>
      </c>
      <c r="E69" s="14" t="str">
        <f>+MID(Hoja2!F69,1,2)</f>
        <v>07</v>
      </c>
      <c r="F69" t="str">
        <f>+MID(Hoja2!F69,4,20)</f>
        <v>ROBLEDO</v>
      </c>
      <c r="G69" t="str">
        <f>+Hoja2!G69</f>
        <v xml:space="preserve">-	Puesto de control
-	Intervención por invasión del espacio público (movilidad)
</v>
      </c>
      <c r="H69">
        <f>+Hoja2!H69</f>
        <v>0</v>
      </c>
    </row>
    <row r="70" spans="1:8" x14ac:dyDescent="0.2">
      <c r="A70">
        <f>+Hoja2!A70</f>
        <v>203023</v>
      </c>
      <c r="B70" s="12" t="str">
        <f>+MID(+Hoja2!B70,1,10)</f>
        <v>18/08/21</v>
      </c>
      <c r="C70">
        <f>+VLOOKUP(D70,DepMaster!$B:$C,2,FALSE)</f>
        <v>732</v>
      </c>
      <c r="D70" t="str">
        <f>+Hoja2!C70</f>
        <v>Secretaría de Seguridad y Convivencia</v>
      </c>
      <c r="E70" s="14" t="str">
        <f>+MID(Hoja2!F70,1,2)</f>
        <v>08</v>
      </c>
      <c r="F70" t="str">
        <f>+MID(Hoja2!F70,4,20)</f>
        <v>VILLA HERMOSA</v>
      </c>
      <c r="G70" t="str">
        <f>+Hoja2!G70</f>
        <v xml:space="preserve">-	Puesto de control
-	El 3 de agosto en el parque Villa Hermosa, se realizó un encuentro con los vendedores informales (población migrante) con el fin de generar acuerdos y compromisos en torno a la mitigación de los diferentes Comportamientos Contrarios a la Convivencia que se vienen presentando en el parque y sus alrededores. Acompañaron la actividad la Subsecretaría de Espacio Público y la Unidad de Convivencia. 
-	Con el propósito de avanzar en la construcción y potenciación del proceso de concertación y autorregulación por el espacio público que se viene adelantando desde hace 4 meses se firmó el acuerdo de convivencia el día  miércoles 4 de agosto entre venteros informales autorizados en el parque de Villa Hermosa. Dentro del acuerdo se comprometieron a  cumplir con los horarios permitidos para las ventas que se comprenden entre 6:00 a.m. y 12:00 p.m., a no tercerizar los puestos de venta, cumplir con las medidas permitidas y propender por el cuidado con el ornato y aseo del espacio.
</v>
      </c>
      <c r="H70" t="str">
        <f>+Hoja2!H70</f>
        <v>-	El 3 de agosto en el parque Villa Hermosa, se realizó un encuentro con los vendedores informales (población migrante) con el fin de generar acuerdos y compromisos en torno a la mitigación de los diferentes Comportamientos Contrarios a la Convivencia que se vienen presentando en el parque y sus alrededores. Acompañaron la actividad la Subsecretaría de Espacio Público y la Unidad de Convivencia. Participaron 15 personas.
-	Con el propósito de avanzar en la construcción y potenciación del proceso de concertación y autorregulación por el espacio público que se viene adelantando desde hace 4 meses se firmó el acuerdo de convivencia el día  miércoles 4 de agosto entre venteros informales autorizados en el parque de Villa Hermosa, donde se beneficiaron 25 venteros no regulados y 7 regulados semiestacionarios. Dentro del acuerdo se comprometieron a  cumplir con los horarios permitidos para las ventas que se comprenden entre 6:00 a.m. y 12:00 p.m., a no tercerizar los puestos de venta, cumplir con las medidas permitidas y propender por el cuidado con el ornato y aseo del espacio.</v>
      </c>
    </row>
    <row r="71" spans="1:8" x14ac:dyDescent="0.2">
      <c r="A71">
        <f>+Hoja2!A71</f>
        <v>203023</v>
      </c>
      <c r="B71" s="12" t="str">
        <f>+MID(+Hoja2!B71,1,10)</f>
        <v>18/08/21</v>
      </c>
      <c r="C71">
        <f>+VLOOKUP(D71,DepMaster!$B:$C,2,FALSE)</f>
        <v>732</v>
      </c>
      <c r="D71" t="str">
        <f>+Hoja2!C71</f>
        <v>Secretaría de Seguridad y Convivencia</v>
      </c>
      <c r="E71" s="14" t="str">
        <f>+MID(Hoja2!F71,1,2)</f>
        <v>10</v>
      </c>
      <c r="F71" t="str">
        <f>+MID(Hoja2!F71,4,20)</f>
        <v>LA CANDELARIA</v>
      </c>
      <c r="G71" t="str">
        <f>+Hoja2!G71</f>
        <v xml:space="preserve">-	Acción integral centro y parque prado y acción de protección (viernes 13 de agosto) 
-	Estupefacientes
-	Puesto de control
-	Desmonte de cambuches en el recorrido Rio
-	Intervención Minorista, acción integral y estupefacientes.
-	Intervención Sagrado Corazón y Chagualo
-	Se realiza la campaña de Parque Seguro en el sector el Machete barrio Villanueva, promoviendo los protocolos de bioseguridad y apoyando la reactivación económica.
-	El 4 de agosto por solicitud de la JAC en el barrio San Benito y en respuesta al Comité local de Gobierno, nos articulamos con Gerencia del Centro, para llevar a cabo la estrategia Interinstitucional “centro consentido”. La Unidad de Convivencia participó con la estrategia "Dale Sentido a la Vida, Vive y Convive" y se invitó a la Comunidad a la reconciliación desde la palabra escrita, para una Sana Convivencia. Acompañaron la Ponal, (Unidades de Preci), Secretaría de Medio Ambiente, Espacio Público, Movilidad Humana, Gerencia del Centro y Seguridad y Convivencia.
-	El 05 de agosto en el barrio Prado Centro con el Gremio Taxista Coopebombas, se realizó socialización de la Ley 1801 de 2016, frente a los hechos contrarios de la convivencia, se tocaron temas como: convivencia, espacios pedagógicos de la convivencia, oferta institucional, importancia del Comité Local de Gobierno, Consejos de Convivencia Ciudadana.  Acompañaron la actividad: Preci, Personería de Medellín, Comisaría de Familia, y la Unidad de Convivencia. 
-	El 05 de agosto en el centro de atención básica 2, como respuesta al gran incremento de homicidios por convivencia entre habitantes de calle, la Unidad de Convivencia realizó socialización del Código Nacional de Seguridad y Convivencia, con el propósito de generar buenos hábitos en convivencia ciudadana en el marco del proceso de resocialización que inician. 
-	Se realizó la sensibilización de 2 centros comerciales en cuanto a la regulación de los avisos publicitarios instalados en sus fachadas, también pedagogía frente a cuáles son avisos de identificación y cuáles comerciales que generan aprovechamiento económico del espacio público, sus dimensiones y sitios permitidos, en compañía de la Agencia App, y a su vez se hizo recorrido de verificación de cumplimiento de parámetros técnicos en el sector parque de Boston.
</v>
      </c>
      <c r="H71" t="str">
        <f>+Hoja2!H71</f>
        <v>-	El 05 de agosto en el centro de atención básica 2, como respuesta al gran incremento de homicidios por convivencia entre habitantes de calle, la Unidad de Convivencia realizó socialización del Código Nacional de Seguridad y Convivencia, con el propósito de generar buenos hábitos en convivencia ciudadana en el marco del proceso de resocialización que inician. Participaron de esta actividad 24 personas.
-	El 05 de agosto en el barrio Prado Centro con el Gremio Taxista Coopebombas, se realizó socialización de la Ley 1801 de 2016, frente a los hechos contrarios de la convivencia, se tocaron temas como: convivencia, espacios pedagógicos de la convivencia, oferta institucional, importancia del Comité Local de Gobierno, Consejos de Convivencia Ciudadana.  Acompañaron la actividad: Preci, Personería de Medellín, Comisaría de Familia, y la Unidad de Convivencia. Se impactaron 40 Personas. 
-	El 4 de agosto por solicitud de la JAC en el barrio San Benito y en respuesta al Comité local de Gobierno, nos articulamos con Gerencia del Centro, para llevar a cabo la estrategia Interinstitucional “centro consentido”. La Unidad de Convivencia participó con la estrategia "Dale Sentido a la Vida, Vive y Convive" y se invitó a la Comunidad a la reconciliación desde la palabra escrita, para una Sana Convivencia. Acompañaron la Ponal, (Unidades de Preci), Secretaría de Medio Ambiente, Espacio Público, Movilidad Humana, Gerencia del Centro y Seguridad y Convivencia, se impactan 55 personas.</v>
      </c>
    </row>
    <row r="72" spans="1:8" x14ac:dyDescent="0.2">
      <c r="A72">
        <f>+Hoja2!A72</f>
        <v>203023</v>
      </c>
      <c r="B72" s="12" t="str">
        <f>+MID(+Hoja2!B72,1,10)</f>
        <v>18/08/21</v>
      </c>
      <c r="C72">
        <f>+VLOOKUP(D72,DepMaster!$B:$C,2,FALSE)</f>
        <v>732</v>
      </c>
      <c r="D72" t="str">
        <f>+Hoja2!C72</f>
        <v>Secretaría de Seguridad y Convivencia</v>
      </c>
      <c r="E72" s="14" t="str">
        <f>+MID(Hoja2!F72,1,2)</f>
        <v>11</v>
      </c>
      <c r="F72" t="str">
        <f>+MID(Hoja2!F72,4,20)</f>
        <v>LAURELES</v>
      </c>
      <c r="G72" t="str">
        <f>+Hoja2!G72</f>
        <v xml:space="preserve">-	Plan prevención contra el hurto 
-	Desmonte de cambuches
-	Puesto de control
-	Desmonte de cambuches en el recorrido Rio
-	PMU Estadio, desmonte de cambuches y puesto de control 
-	Plan de Control de Habitantes de Calle en articulación con Inclusión Social, Familia y DDHH y Policía en donde acompaño comunicaciones para reportar dicho proceso en el territorio. 
-	Intervención con Secretaría de Control y Gestión Territorial y Policía frente a las construcciones y compraventas ilegales que se están presentando en el sector de San Joaquín y Conquistadores.   
-	Caracterización de problemáticas de Violencias asociadas a niños, niñas, adolescentes y jóvenes —NNAJ— en relación con el uso, vinculación, instrumentalización y/o reclutamiento —UVR— de NNAJ y Explotación Sexual y Comercial de Niños, Niñas y Adolescentes — ESCNNA—. Esto se realiza en el corredor de la 70, en articulación con Unidad de Niñez, Policía de Infancia y Adolescencia, PRECI, Secretaría de Juventud y Subsecretaría Operativa.
-	El 4 de agosto la Unidad de Convivencia en articulación con las Secretarías de Salud y de Juventud se realizó nuevamente acercamiento con Comunidad LGTBIQ+, del Barrio El Velódromo, con el fin de conocer necesidades puntuales y llegar así con una oferta que cumpla sus necesidades. 
</v>
      </c>
      <c r="H72" t="str">
        <f>+Hoja2!H72</f>
        <v>-	El 4 de agosto la Unidad de Convivencia en articulación con las Secretarías de Salud y de Juventud se realizó nuevamente acercamiento con Comunidad LGTBIQ+, del Barrio El Velódromo, con el fin de conocer necesidades puntuales y llegar así con una oferta que cumpla sus necesidades. Se impactan 12 personas.</v>
      </c>
    </row>
    <row r="73" spans="1:8" x14ac:dyDescent="0.2">
      <c r="A73">
        <f>+Hoja2!A73</f>
        <v>203023</v>
      </c>
      <c r="B73" s="12" t="str">
        <f>+MID(+Hoja2!B73,1,10)</f>
        <v>18/08/21</v>
      </c>
      <c r="C73">
        <f>+VLOOKUP(D73,DepMaster!$B:$C,2,FALSE)</f>
        <v>732</v>
      </c>
      <c r="D73" t="str">
        <f>+Hoja2!C73</f>
        <v>Secretaría de Seguridad y Convivencia</v>
      </c>
      <c r="E73" s="14" t="str">
        <f>+MID(Hoja2!F73,1,2)</f>
        <v>12</v>
      </c>
      <c r="F73" t="str">
        <f>+MID(Hoja2!F73,4,20)</f>
        <v>LA AMERICA</v>
      </c>
      <c r="G73" t="str">
        <f>+Hoja2!G73</f>
        <v xml:space="preserve">-	Plan prevención contra el hurto 
-	Desmonte de cambuches
-	Se realizó campaña de socialización  de la línea 123 social y emergencia, dirigida a comerciantes en el barrio La Floresta.
-	El 1 de agosto tras llamados de la comunidad del barrio La Pradera, por asuntos de constantes ruidos y perturbación de la tranquilidad, se realizó junto con el Centro Integrado de Intervención-CI2, actividad lúdico-recreativa con los niños y niñas, cómo espacio de encuentro para socializar las pautas y comportamientos de los buenos cuidados, promoviendo con ellos la implementación de estrategias al interior de los hogares para la disminución del ruido.  
</v>
      </c>
      <c r="H73" t="str">
        <f>+Hoja2!H73</f>
        <v>-	El 1 de agosto tras llamados de la comunidad del barrio La Pradera, por asuntos de constantes ruidos y perturbación de la tranquilidad, se realizó junto con el Centro Integrado de Intervención-CI2, actividad lúdico-recreativa con los niños y niñas, cómo espacio de encuentro para socializar las pautas y comportamientos de los buenos cuidados, promoviendo con ellos la implementación de estrategias al interior de los hogares para la disminución del ruido.  Participan 30 personas, entre niños y niñas.</v>
      </c>
    </row>
    <row r="74" spans="1:8" x14ac:dyDescent="0.2">
      <c r="A74">
        <f>+Hoja2!A74</f>
        <v>203023</v>
      </c>
      <c r="B74" s="12" t="str">
        <f>+MID(+Hoja2!B74,1,10)</f>
        <v>18/08/21</v>
      </c>
      <c r="C74">
        <f>+VLOOKUP(D74,DepMaster!$B:$C,2,FALSE)</f>
        <v>732</v>
      </c>
      <c r="D74" t="str">
        <f>+Hoja2!C74</f>
        <v>Secretaría de Seguridad y Convivencia</v>
      </c>
      <c r="E74" s="14" t="str">
        <f>+MID(Hoja2!F74,1,2)</f>
        <v>13</v>
      </c>
      <c r="F74" t="str">
        <f>+MID(Hoja2!F74,4,20)</f>
        <v>SAN JAVIER</v>
      </c>
      <c r="G74" t="str">
        <f>+Hoja2!G74</f>
        <v xml:space="preserve">-	Puesto de control
-	El 1 de agosto, dando seguimiento a los puntos prioritarios de intervención, en el sector de Luz del Mundo del barrio El Socorro 13, se realizó recuperación con limpieza y embellecimiento en articulación con la Policía, el Ejército Nacional, la Secretaría de Salud, el Centro Integrado de Intervención - CI2 y la Promotora Local de Gobierno. Se promovió prácticas cotidianas de la disposición adecuada de residuos sólidos con la comunidad participante. 
-	En el cumplimiento de los compromisos adquiridos en Consejo de Convivencia, se trabajó con los niños del barrio Las Independencias, sector Escaleras Eléctricas, en lo relacionado con la prevención de la violencia interpersonal, la mendicidad y explotación infantil laboral. Con estos chicos se intervino sobre la estrategia de Dale Sentido a la Vida: "Ruta del Respeto". 
</v>
      </c>
      <c r="H74" t="str">
        <f>+Hoja2!H74</f>
        <v>-	El 1 de agosto, dando seguimiento a los puntos prioritarios de intervención, en el sector de Luz del Mundo del barrio El Socorro 13, se realizó recuperación con limpieza y embellecimiento en articulación con la Policía, el Ejército Nacional, la Secretaría de Salud, el Centro Integrado de Intervención - CI2 y la Promotora Local de Gobierno. Se promovió prácticas cotidianas de la disposición adecuada de residuos sólidos con la comunidad participante. Se impactaron 80 personas.
-	En el cumplimiento de los compromisos adquiridos en Consejo de Convivencia, se trabajó con los niños del barrio Las Independencias, sector Escaleras Eléctricas, en lo relacionado con la prevención de la violencia interpersonal, la mendicidad y explotación infantil laboral. Con estos chicos se intervino sobre la estrategia de Dale Sentido a la Vida: "Ruta del Respeto". Participaron de la actividad 8 menores.</v>
      </c>
    </row>
    <row r="75" spans="1:8" x14ac:dyDescent="0.2">
      <c r="A75">
        <f>+Hoja2!A75</f>
        <v>203023</v>
      </c>
      <c r="B75" s="12" t="str">
        <f>+MID(+Hoja2!B75,1,10)</f>
        <v>18/08/21</v>
      </c>
      <c r="C75">
        <f>+VLOOKUP(D75,DepMaster!$B:$C,2,FALSE)</f>
        <v>732</v>
      </c>
      <c r="D75" t="str">
        <f>+Hoja2!C75</f>
        <v>Secretaría de Seguridad y Convivencia</v>
      </c>
      <c r="E75" s="14" t="str">
        <f>+MID(Hoja2!F75,1,2)</f>
        <v>14</v>
      </c>
      <c r="F75" t="str">
        <f>+MID(Hoja2!F75,4,20)</f>
        <v>EL POBLADO</v>
      </c>
      <c r="G75" t="str">
        <f>+Hoja2!G75</f>
        <v xml:space="preserve">-	Acción integral Parque Lleras
-	Desmonte de cambuches en el recorrido Río
-	Se inició feria se servicios interinstitucionales en el Parque Lleras y Provenza.
-	El 4 de agosto en Ciudad del Río, se promovió en vecinos y visitantes del parque al "Respeto por los espacios públicos"; una oportunidad también para hacerles un llamado a la tenencia adecuada de mascotas.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	Se hace entrega de 16 requerimientos de desmonte en el corredor de la 10, los cuales no cumplen con la normatividad vigente y que además no se encuentran regulados por la subsecretaría y no tienen un trámite de registro en curso.
</v>
      </c>
      <c r="H75" t="str">
        <f>+Hoja2!H75</f>
        <v>-	El 4 de agosto en Ciudad del Río, se promovió en vecinos y visitantes del parque al "Respeto por los espacios públicos"; una oportunidad también para hacerles un llamado a la tenencia adecuada de mascotas. Se impactan 70 personas.</v>
      </c>
    </row>
    <row r="76" spans="1:8" x14ac:dyDescent="0.2">
      <c r="A76">
        <f>+Hoja2!A76</f>
        <v>203023</v>
      </c>
      <c r="B76" s="12" t="str">
        <f>+MID(+Hoja2!B76,1,10)</f>
        <v>18/08/21</v>
      </c>
      <c r="C76">
        <f>+VLOOKUP(D76,DepMaster!$B:$C,2,FALSE)</f>
        <v>732</v>
      </c>
      <c r="D76" t="str">
        <f>+Hoja2!C76</f>
        <v>Secretaría de Seguridad y Convivencia</v>
      </c>
      <c r="E76" s="14" t="str">
        <f>+MID(Hoja2!F76,1,2)</f>
        <v>15</v>
      </c>
      <c r="F76" t="str">
        <f>+MID(Hoja2!F76,4,20)</f>
        <v>GUAYABAL</v>
      </c>
      <c r="G76" t="str">
        <f>+Hoja2!G76</f>
        <v xml:space="preserve">-	Puesto de control en la 4 sur y Las Palmas
-	Desmonte de cambuches en el recorrido del rio
-	Se continúa intervención enfocada en habitante de calle en las comunas 15 y 16. Articulados con inclusión social, espacio público y Emvarias. Se evidencia la disminución de presencia de habitantes de calle en puntos críticos, especialmente en la canalización de la carrera 65 y en el sector empresarial del sur.
</v>
      </c>
      <c r="H76">
        <f>+Hoja2!H76</f>
        <v>0</v>
      </c>
    </row>
    <row r="77" spans="1:8" x14ac:dyDescent="0.2">
      <c r="A77">
        <f>+Hoja2!A77</f>
        <v>203023</v>
      </c>
      <c r="B77" s="12" t="str">
        <f>+MID(+Hoja2!B77,1,10)</f>
        <v>18/08/21</v>
      </c>
      <c r="C77">
        <f>+VLOOKUP(D77,DepMaster!$B:$C,2,FALSE)</f>
        <v>732</v>
      </c>
      <c r="D77" t="str">
        <f>+Hoja2!C77</f>
        <v>Secretaría de Seguridad y Convivencia</v>
      </c>
      <c r="E77" s="14" t="str">
        <f>+MID(Hoja2!F77,1,2)</f>
        <v>16</v>
      </c>
      <c r="F77" t="str">
        <f>+MID(Hoja2!F77,4,20)</f>
        <v>BELEN</v>
      </c>
      <c r="G77" t="str">
        <f>+Hoja2!G77</f>
        <v xml:space="preserve">-	Puesto de control
-	Plan parques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	Se continúa intervención enfocada en habitante de calle en las comunas 15 y 16. Articulados con inclusión social, espacio público y Emvarias. Se evidencia la disminución de presencia de habitantes de calle en puntos críticos, especialmente en la canalización de la carrera 65 y en el sector empresarial del sur.
</v>
      </c>
      <c r="H77">
        <f>+Hoja2!H77</f>
        <v>0</v>
      </c>
    </row>
    <row r="78" spans="1:8" x14ac:dyDescent="0.2">
      <c r="A78">
        <f>+Hoja2!A78</f>
        <v>203023</v>
      </c>
      <c r="B78" s="12" t="str">
        <f>+MID(+Hoja2!B78,1,10)</f>
        <v>18/08/21</v>
      </c>
      <c r="C78">
        <f>+VLOOKUP(D78,DepMaster!$B:$C,2,FALSE)</f>
        <v>732</v>
      </c>
      <c r="D78" t="str">
        <f>+Hoja2!C78</f>
        <v>Secretaría de Seguridad y Convivencia</v>
      </c>
      <c r="E78" s="14" t="str">
        <f>+MID(Hoja2!F78,1,2)</f>
        <v>50</v>
      </c>
      <c r="F78" t="str">
        <f>+MID(Hoja2!F78,4,20)</f>
        <v>PALMITAS</v>
      </c>
      <c r="G78" t="str">
        <f>+Hoja2!G78</f>
        <v xml:space="preserve">-	Se atiende problemática de Hurtos a personas que se viene presentando en la vereda Urquita.
-	El 5 de agosto en la vereda la Frisola en el marco de la Feria de servicios, se realiza la estrategia Dale sentido a la vida "Vive y Convive, el taller de cartas de amor y se socializó la Ley 1801 de 2016 frente al tema del Ruido y perturbación de la tranquilidad ciudadana. 
</v>
      </c>
      <c r="H78" t="str">
        <f>+Hoja2!H78</f>
        <v>-	El 5 de agosto en la vereda la Frisola en el marco de la Feria de servicios, se realiza la estrategia Dale sentido a la vida "Vive y Convive, el taller de cartas de amor y se socializó la Ley 1801 de 2016 frente al tema del Ruido y perturbación de la tranquilidad ciudadana. En esta actividad se impactaron 15.</v>
      </c>
    </row>
    <row r="79" spans="1:8" x14ac:dyDescent="0.2">
      <c r="A79">
        <f>+Hoja2!A79</f>
        <v>203023</v>
      </c>
      <c r="B79" s="12" t="str">
        <f>+MID(+Hoja2!B79,1,10)</f>
        <v>18/08/21</v>
      </c>
      <c r="C79">
        <f>+VLOOKUP(D79,DepMaster!$B:$C,2,FALSE)</f>
        <v>732</v>
      </c>
      <c r="D79" t="str">
        <f>+Hoja2!C79</f>
        <v>Secretaría de Seguridad y Convivencia</v>
      </c>
      <c r="E79" s="14" t="str">
        <f>+MID(Hoja2!F79,1,2)</f>
        <v>60</v>
      </c>
      <c r="F79" t="str">
        <f>+MID(Hoja2!F79,4,20)</f>
        <v>SAN CRISTOBAL</v>
      </c>
      <c r="G79" t="str">
        <f>+Hoja2!G79</f>
        <v xml:space="preserve">-	Puesto de control
-	Comuna Nuevo Occidente: el 4 de agosto, en la Ciudadela Nuevo Occidente, se llevó acabo la socialización del Código Nacional de Seguridad y Convivencia, haciendo hincapié en los Comportamientos Contrarios a la Convivencia tales como el ruido, uso inadecuado del espacio público, mal manejo de residuos sólidos, tenencia responsable de mascotas (caninos y felinos) y de consumo de licor al interior de la Urbanización Atardeceres.
-	El 3 de agosto se realizó jornada lúdico-pedagógica con niños, adolescentes y mujeres adultas de la vereda La Loma, trabajando en temas de respeto; prevención a la violencia contra niños, niñas, adolescentes y mujeres; y nuevas masculinidades. En la actividad se reflexionó sobre los comportamientos en los hogares y cómo generar entornos seguros. Esta actividad se realizó en articulación con la Subsecretaria Operativa, laS SecretaríaS de Inclusión Social, Familia y DDHH, Mujeres y PRECI.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v>
      </c>
      <c r="H79" t="str">
        <f>+Hoja2!H79</f>
        <v>-	Comuna Nuevo Occidente: el 4 de agosto, en la Ciudadela Nuevo Occidente, se llevó acabo la socialización del Código Nacional de Seguridad y Convivencia, haciendo hincapié en los Comportamientos Contrarios a la Convivencia tales como el ruido, uso inadecuado del espacio público, mal manejo de residuos sólidos, tenencia responsable de mascotas (caninos y felinos) y de consumo de licor al interior de la Urbanización Atardeceres. Se impactaron 18 personas.
-	El 3 de agosto se realizó jornada lúdico-pedagógica con niños, adolescentes y mujeres adultas de la vereda La Loma, trabajando en temas de respeto; prevención a la violencia contra niños, niñas, adolescentes y mujeres; y nuevas masculinidades. En la actividad se reflexionó sobre los comportamientos en los hogares y cómo generar entornos seguros. Esta actividad se realizó en articulación con la Subsecretaria Operativa, laS SecretaríaS de Inclusión Social, Familia y DDHH, Mujeres y PRECI. Se impactó a 60 personas.</v>
      </c>
    </row>
    <row r="80" spans="1:8" x14ac:dyDescent="0.2">
      <c r="A80">
        <f>+Hoja2!A80</f>
        <v>203023</v>
      </c>
      <c r="B80" s="12" t="str">
        <f>+MID(+Hoja2!B80,1,10)</f>
        <v>18/08/21</v>
      </c>
      <c r="C80">
        <f>+VLOOKUP(D80,DepMaster!$B:$C,2,FALSE)</f>
        <v>732</v>
      </c>
      <c r="D80" t="str">
        <f>+Hoja2!C80</f>
        <v>Secretaría de Seguridad y Convivencia</v>
      </c>
      <c r="E80" s="14" t="str">
        <f>+MID(Hoja2!F80,1,2)</f>
        <v>70</v>
      </c>
      <c r="F80" t="str">
        <f>+MID(Hoja2!F80,4,20)</f>
        <v>ALTAVISTA</v>
      </c>
      <c r="G80" t="str">
        <f>+Hoja2!G80</f>
        <v xml:space="preserve">-	Visita a predio agua frías
-	Se presenta situación de uso e instrumentalización de menores en el sector de Manzanillo, donde un menor de 14 años fue víctima de desplazamiento intraurbano por parte de grupos delincuenciales al parecer por haber hecho parte de sus actividades delictivas, otros 2 menores se encuentran en riesgo en este sector por la misma razón. 
-	Se realiza  reunión con Edil del corregimiento y líderes del sector donde se logra evidenciar las problemáticas de seguridad que están ocurriendo actualmente en el Manzanillo,  líderes y comunidad piden apoyo del ejército para mitigar la problemática.
-	El día de hoy 10 de agosto se lleva a cabo caminata ecológica con medio ambiente, líderes y comunidad  del sector La Esperanza donde se ha venido realizando un acercamiento para evidenciar las problemáticas de seguridad y empoderar a la comunidad de dicho sector en corresponsabilidad social, cultura de denuncia y fortalecimiento en la confianza institucional.
-	El 6 de agosto en la parte central del corregimiento, se realiza actividad lúdico recreativa consistente en promoción de la convivencia con los diferentes habitantes del sector como espacio de encuentro para socializar  comportamientos de los buenos cuidados, promoviendo el Respeto hacia al otro por medio de las diferentes   estrategias. De esta actividad participaron 30 personas.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v>
      </c>
      <c r="H80">
        <f>+Hoja2!H80</f>
        <v>0</v>
      </c>
    </row>
    <row r="81" spans="1:8" x14ac:dyDescent="0.2">
      <c r="A81">
        <f>+Hoja2!A81</f>
        <v>203023</v>
      </c>
      <c r="B81" s="12" t="str">
        <f>+MID(+Hoja2!B81,1,10)</f>
        <v>18/08/21</v>
      </c>
      <c r="C81">
        <f>+VLOOKUP(D81,DepMaster!$B:$C,2,FALSE)</f>
        <v>732</v>
      </c>
      <c r="D81" t="str">
        <f>+Hoja2!C81</f>
        <v>Secretaría de Seguridad y Convivencia</v>
      </c>
      <c r="E81" s="14" t="str">
        <f>+MID(Hoja2!F81,1,2)</f>
        <v>80</v>
      </c>
      <c r="F81" t="str">
        <f>+MID(Hoja2!F81,4,20)</f>
        <v>SAN ANTONIO DE PRADO</v>
      </c>
      <c r="G81" t="str">
        <f>+Hoja2!G81</f>
        <v xml:space="preserve">-	Puesto de control
-	Se realizó reunión con la Unidad de Convivencia, con el objetivo de analizar los compromisos adquiridos en el CCC de Prados Campestre. Se realizará otro CCC el 26 de Agosto.
-	El 6 de  agosto, en la Vereda el Salado, dando respuesta a denuncias en Consejo de Convivencia Ciudadana y quejas de la ciudadanía respecto a posibles casos de Explotación sexual Comercial de Niños, Niñas y Adolescentes se realizó articulación interinstitucional con PRECI, la Secretaría de la Mujer y la Unidad de Niñez, logrando sensibilizar y empoderar a padres de familia y niñas de la zona sobre: el Código de seguridad y convivencia (Ley 1801 de 2016), identificación de riesgos y  apropiación de la ESCNNA, uso y conocimiento de las plataformas donde se registran las denuncias, las rutas de acción, código fucsia, derechos sexuales y reproductivos, manejo de las emociones; entre otras estrategias de prevención y protección a los niños, niñas y adolescentes.
-	Inscripción de candidatos a Los encuentros sectoriales y/o poblacionales para las Elecciones del Consejo Comunal y Corregimental de Planeación 2021, por el “Sector Barrismo”, apoyar la implementación de estrategias de pedagogía y movilización para la jornada de priorización 2021.
</v>
      </c>
      <c r="H81" t="str">
        <f>+Hoja2!H81</f>
        <v>-	El 6 de  agosto, en la Vereda el Salado, dando respuesta a denuncias en Consejo de Convivencia Ciudadana y quejas de la ciudadanía respecto a posibles casos de Explotación sexual Comercial de Niños, Niñas y Adolescentes se realizó articulación interinstitucional con PRECI, la Secretaría de la Mujer y la Unidad de Niñez, logrando sensibilizar y empoderar a padres de familia y niñas de la zona sobre: el Código de seguridad y convivencia (Ley 1801 de 2016), identificación de riesgos y  apropiación de la ESCNNA, uso y conocimiento de las plataformas donde se registran las denuncias, las rutas de acción, código fucsia, derechos sexuales y reproductivos, manejo de las emociones; entre otras estrategias de prevención y protección a los niños, niñas y adolescentes. Se impactan aproximadamente 30 padres de familia 35 niños.</v>
      </c>
    </row>
    <row r="82" spans="1:8" x14ac:dyDescent="0.2">
      <c r="A82">
        <f>+Hoja2!A82</f>
        <v>203023</v>
      </c>
      <c r="B82" s="12" t="str">
        <f>+MID(+Hoja2!B82,1,10)</f>
        <v>18/08/21</v>
      </c>
      <c r="C82">
        <f>+VLOOKUP(D82,DepMaster!$B:$C,2,FALSE)</f>
        <v>732</v>
      </c>
      <c r="D82" t="str">
        <f>+Hoja2!C82</f>
        <v>Secretaría de Seguridad y Convivencia</v>
      </c>
      <c r="E82" s="14" t="str">
        <f>+MID(Hoja2!F82,1,2)</f>
        <v>90</v>
      </c>
      <c r="F82" t="str">
        <f>+MID(Hoja2!F82,4,20)</f>
        <v>SANTA ELENA</v>
      </c>
      <c r="G82" t="str">
        <f>+Hoja2!G82</f>
        <v xml:space="preserve">-	Reunión Parque Arví con fincas silleteras no incluidas en la COSSE (corporación de silleteros de Santa Elena).
-	Recorrido de certificación el cerro.
-	Reunión previa desfile de Silleteritos.
-	Visita de verificación de parqueaderos en finca contigua al centro de salud.
-	Acompañamiento a desfile de Silleteritos
-	El 3 de agosto, en la vereda barro blanco sector el Rosario, mediante articulación interinstitucional se realizó intervención en la identificación de algunas problemáticas relacionadas al mal manejo de los residuos sólidos, escombros y otros desechos, igualmente se realiza sensibilización a los habitantes del sector con respecto a la adecuada disposición de los residuos en virtud del artículo 111 de la ley 1801 de 2016. Esta actividad tuvo un impacto en 90 habitantes del sector.
-	El 10 de agosto, el Secretario de Seguridad y Convivencia realizó recorrido al corregimiento de Santa Elena donde visitó la Casa de Gobierno, el Fuerte de Carabineros, la estación de Policía y participó del Comité Local de Gobierno. 
</v>
      </c>
      <c r="H82" t="str">
        <f>+Hoja2!H82</f>
        <v>-	El 10 de agosto, el Secretario de Seguridad y Convivencia realizó recorrido al corregimiento de Santa Elena donde visitó la Casa de Gobierno, el Fuerte de Carabineros, la estación de Policía y participó del Comité Local de Gobierno. Con la participación de 30 personas del sector.</v>
      </c>
    </row>
    <row r="83" spans="1:8" x14ac:dyDescent="0.2">
      <c r="A83">
        <f>+Hoja2!A83</f>
        <v>203023</v>
      </c>
      <c r="B83" s="12" t="str">
        <f>+MID(+Hoja2!B83,1,10)</f>
        <v>18/08/21</v>
      </c>
      <c r="C83">
        <f>+VLOOKUP(D83,DepMaster!$B:$C,2,FALSE)</f>
        <v>954</v>
      </c>
      <c r="D83" t="str">
        <f>+Hoja2!C83</f>
        <v>Gerencia de Etnias</v>
      </c>
      <c r="E83" s="14" t="str">
        <f>+MID(Hoja2!F83,1,2)</f>
        <v>01</v>
      </c>
      <c r="F83" t="str">
        <f>+MID(Hoja2!F83,4,20)</f>
        <v>POPULAR</v>
      </c>
      <c r="G83" t="str">
        <f>+Hoja2!G83</f>
        <v>N/A</v>
      </c>
      <c r="H83" t="str">
        <f>+Hoja2!H83</f>
        <v>N/A</v>
      </c>
    </row>
    <row r="84" spans="1:8" x14ac:dyDescent="0.2">
      <c r="A84">
        <f>+Hoja2!A84</f>
        <v>203023</v>
      </c>
      <c r="B84" s="12" t="str">
        <f>+MID(+Hoja2!B84,1,10)</f>
        <v>18/08/21</v>
      </c>
      <c r="C84">
        <f>+VLOOKUP(D84,DepMaster!$B:$C,2,FALSE)</f>
        <v>703</v>
      </c>
      <c r="D84" t="str">
        <f>+Hoja2!C84</f>
        <v>Secretaría de Evaluación y Control</v>
      </c>
      <c r="E84" s="14" t="str">
        <f>+MID(Hoja2!F84,1,2)</f>
        <v>01</v>
      </c>
      <c r="F84" t="str">
        <f>+MID(Hoja2!F84,4,20)</f>
        <v>POPULAR</v>
      </c>
      <c r="G84" t="str">
        <f>+Hoja2!G84</f>
        <v>-</v>
      </c>
      <c r="H84" t="str">
        <f>+Hoja2!H84</f>
        <v>-</v>
      </c>
    </row>
    <row r="85" spans="1:8" x14ac:dyDescent="0.2">
      <c r="A85">
        <f>+Hoja2!A85</f>
        <v>203023</v>
      </c>
      <c r="B85" s="12" t="str">
        <f>+MID(+Hoja2!B85,1,10)</f>
        <v>18/08/21</v>
      </c>
      <c r="C85">
        <f>+VLOOKUP(D85,DepMaster!$B:$C,2,FALSE)</f>
        <v>742</v>
      </c>
      <c r="D85" t="str">
        <f>+Hoja2!C85</f>
        <v>Secretaría de Medio Ambiente</v>
      </c>
      <c r="E85" s="14" t="str">
        <f>+MID(Hoja2!F85,1,2)</f>
        <v>04</v>
      </c>
      <c r="F85" t="str">
        <f>+MID(Hoja2!F85,4,20)</f>
        <v>ARANJUEZ</v>
      </c>
      <c r="G85" t="str">
        <f>+Hoja2!G85</f>
        <v>Transformación Integral del lugar Intervenido</v>
      </c>
      <c r="H85" t="str">
        <f>+Hoja2!H85</f>
        <v>Pintura de pasamanos y defensas viales : 36 m lineales
Pintura de mobiliario urbano : 29 módulos
Recolección de residuos ordinarios: 56 m3
Recolección de RCD: 17 m3
Recolección voluminosos :  9m3
Limpieza sumideros : 63 unidades
Limpieza de punto critico: 1 puntos</v>
      </c>
    </row>
    <row r="86" spans="1:8" x14ac:dyDescent="0.2">
      <c r="A86">
        <f>+Hoja2!A86</f>
        <v>203023</v>
      </c>
      <c r="B86" s="12" t="str">
        <f>+MID(+Hoja2!B86,1,10)</f>
        <v>18/08/21</v>
      </c>
      <c r="C86">
        <f>+VLOOKUP(D86,DepMaster!$B:$C,2,FALSE)</f>
        <v>742</v>
      </c>
      <c r="D86" t="str">
        <f>+Hoja2!C86</f>
        <v>Secretaría de Medio Ambiente</v>
      </c>
      <c r="E86" s="14" t="str">
        <f>+MID(Hoja2!F86,1,2)</f>
        <v>05</v>
      </c>
      <c r="F86" t="str">
        <f>+MID(Hoja2!F86,4,20)</f>
        <v>CASTILLA</v>
      </c>
      <c r="G86" t="str">
        <f>+Hoja2!G86</f>
        <v>Transformación Integral del lugar Intervenido</v>
      </c>
      <c r="H86" t="str">
        <f>+Hoja2!H86</f>
        <v xml:space="preserve">Retiro de Publicidad Prohibida : 17 postes
Pintura de pasamanos y defensas viales : 84 m lineales
Pintura de mobiliario urbano : 9 módulos
Pintura muros vandalizados : 45m2
Limpieza de zonas verdes :  2000m2
Recolección de residuos ordinarios: 3 m3
Recolección voluminosos : 8m3
Limpieza sumideros : 85 unidades
Jardineras Intervenidas: 16 unidades
Lavado de zonas duras : 300m2 </v>
      </c>
    </row>
    <row r="87" spans="1:8" x14ac:dyDescent="0.2">
      <c r="A87">
        <f>+Hoja2!A87</f>
        <v>203023</v>
      </c>
      <c r="B87" s="12" t="str">
        <f>+MID(+Hoja2!B87,1,10)</f>
        <v>18/08/21</v>
      </c>
      <c r="C87">
        <f>+VLOOKUP(D87,DepMaster!$B:$C,2,FALSE)</f>
        <v>742</v>
      </c>
      <c r="D87" t="str">
        <f>+Hoja2!C87</f>
        <v>Secretaría de Medio Ambiente</v>
      </c>
      <c r="E87" s="14" t="str">
        <f>+MID(Hoja2!F87,1,2)</f>
        <v>10</v>
      </c>
      <c r="F87" t="str">
        <f>+MID(Hoja2!F87,4,20)</f>
        <v>LA CANDELARIA</v>
      </c>
      <c r="G87" t="str">
        <f>+Hoja2!G87</f>
        <v>Transformación Integral del lugar Intervenido</v>
      </c>
      <c r="H87" t="str">
        <f>+Hoja2!H87</f>
        <v>Retiro de Publicidad prohibida : 49 postes
Lavado zonas duras : 3000m2
Pintura de pasamanos y defensas viales : 12 m lineales
Pintura de mobiliario urbano :26  módulos
Recolección de residuos ordinarios: m3
Limpieza   y reparación cabinas telefónicas :20  unidades</v>
      </c>
    </row>
    <row r="88" spans="1:8" x14ac:dyDescent="0.2">
      <c r="A88">
        <f>+Hoja2!A88</f>
        <v>203023</v>
      </c>
      <c r="B88" s="12" t="str">
        <f>+MID(+Hoja2!B88,1,10)</f>
        <v>18/08/21</v>
      </c>
      <c r="C88">
        <f>+VLOOKUP(D88,DepMaster!$B:$C,2,FALSE)</f>
        <v>742</v>
      </c>
      <c r="D88" t="str">
        <f>+Hoja2!C88</f>
        <v>Secretaría de Medio Ambiente</v>
      </c>
      <c r="E88" s="14" t="str">
        <f>+MID(Hoja2!F88,1,2)</f>
        <v>16</v>
      </c>
      <c r="F88" t="str">
        <f>+MID(Hoja2!F88,4,20)</f>
        <v>BELEN</v>
      </c>
      <c r="G88" t="str">
        <f>+Hoja2!G88</f>
        <v>El 03 de agosto de 2021, se asistió a la Sesión de la JAL, en la que se atendió y dio respuesta a las inquietudes asociadas a las acciones e intervenciones en el recurso hídrico de la Comuna 16.</v>
      </c>
      <c r="H88">
        <f>+Hoja2!H88</f>
        <v>0</v>
      </c>
    </row>
    <row r="89" spans="1:8" x14ac:dyDescent="0.2">
      <c r="A89">
        <f>+Hoja2!A89</f>
        <v>203023</v>
      </c>
      <c r="B89" s="12" t="str">
        <f>+MID(+Hoja2!B89,1,10)</f>
        <v>18/08/21</v>
      </c>
      <c r="C89">
        <f>+VLOOKUP(D89,DepMaster!$B:$C,2,FALSE)</f>
        <v>742</v>
      </c>
      <c r="D89" t="str">
        <f>+Hoja2!C89</f>
        <v>Secretaría de Medio Ambiente</v>
      </c>
      <c r="E89" s="14" t="str">
        <f>+MID(Hoja2!F89,1,2)</f>
        <v>16</v>
      </c>
      <c r="F89" t="str">
        <f>+MID(Hoja2!F89,4,20)</f>
        <v>BELEN</v>
      </c>
      <c r="G89" t="str">
        <f>+Hoja2!G89</f>
        <v>El 06 de agosto, se participó en la sesión de la comisión Accidental 206 "Hacer seguimiento a la gestión de riesgos de desastres en Medellín", cuyo tema especifico estaba asociado a la problemáticas de la Quebrada La Picacha Comuna 16.</v>
      </c>
      <c r="H89">
        <f>+Hoja2!H89</f>
        <v>0</v>
      </c>
    </row>
    <row r="90" spans="1:8" x14ac:dyDescent="0.2">
      <c r="A90">
        <f>+Hoja2!A90</f>
        <v>203023</v>
      </c>
      <c r="B90" s="12" t="str">
        <f>+MID(+Hoja2!B90,1,10)</f>
        <v>18/08/21</v>
      </c>
      <c r="C90">
        <f>+VLOOKUP(D90,DepMaster!$B:$C,2,FALSE)</f>
        <v>742</v>
      </c>
      <c r="D90" t="str">
        <f>+Hoja2!C90</f>
        <v>Secretaría de Medio Ambiente</v>
      </c>
      <c r="E90" s="14" t="str">
        <f>+MID(Hoja2!F90,1,2)</f>
        <v>01</v>
      </c>
      <c r="F90" t="str">
        <f>+MID(Hoja2!F90,4,20)</f>
        <v>POPULAR</v>
      </c>
      <c r="G90" t="str">
        <f>+Hoja2!G90</f>
        <v>Socialización de situaciones relacionadas con los animales, acuerdos con la comunidad frente a oferta institucional</v>
      </c>
      <c r="H90" t="str">
        <f>+Hoja2!H90</f>
        <v>PERSONAS ATENDIDAS: 11 líderes comunitarios</v>
      </c>
    </row>
    <row r="91" spans="1:8" x14ac:dyDescent="0.2">
      <c r="A91">
        <f>+Hoja2!A91</f>
        <v>203023</v>
      </c>
      <c r="B91" s="12" t="str">
        <f>+MID(+Hoja2!B91,1,10)</f>
        <v>18/08/21</v>
      </c>
      <c r="C91">
        <f>+VLOOKUP(D91,DepMaster!$B:$C,2,FALSE)</f>
        <v>742</v>
      </c>
      <c r="D91" t="str">
        <f>+Hoja2!C91</f>
        <v>Secretaría de Medio Ambiente</v>
      </c>
      <c r="E91" s="14" t="str">
        <f>+MID(Hoja2!F91,1,2)</f>
        <v>05</v>
      </c>
      <c r="F91" t="str">
        <f>+MID(Hoja2!F91,4,20)</f>
        <v>CASTILLA</v>
      </c>
      <c r="G91" t="str">
        <f>+Hoja2!G91</f>
        <v>Actividad: Personas sensibilizadas en manejo responsable de animales de compañía</v>
      </c>
      <c r="H91" t="str">
        <f>+Hoja2!H91</f>
        <v>personas atendidas: 8</v>
      </c>
    </row>
    <row r="92" spans="1:8" x14ac:dyDescent="0.2">
      <c r="A92">
        <f>+Hoja2!A92</f>
        <v>203023</v>
      </c>
      <c r="B92" s="12" t="str">
        <f>+MID(+Hoja2!B92,1,10)</f>
        <v>18/08/21</v>
      </c>
      <c r="C92">
        <f>+VLOOKUP(D92,DepMaster!$B:$C,2,FALSE)</f>
        <v>742</v>
      </c>
      <c r="D92" t="str">
        <f>+Hoja2!C92</f>
        <v>Secretaría de Medio Ambiente</v>
      </c>
      <c r="E92" s="14" t="str">
        <f>+MID(Hoja2!F92,1,2)</f>
        <v>07</v>
      </c>
      <c r="F92" t="str">
        <f>+MID(Hoja2!F92,4,20)</f>
        <v>ROBLEDO</v>
      </c>
      <c r="G92" t="str">
        <f>+Hoja2!G92</f>
        <v>Actividad:   Personas sensibilizadas  en manejo responsable de animales de compañía.</v>
      </c>
      <c r="H92" t="str">
        <f>+Hoja2!H92</f>
        <v>personas atendidas: 7</v>
      </c>
    </row>
    <row r="93" spans="1:8" x14ac:dyDescent="0.2">
      <c r="A93">
        <f>+Hoja2!A93</f>
        <v>203023</v>
      </c>
      <c r="B93" s="12" t="str">
        <f>+MID(+Hoja2!B93,1,10)</f>
        <v>18/08/21</v>
      </c>
      <c r="C93">
        <f>+VLOOKUP(D93,DepMaster!$B:$C,2,FALSE)</f>
        <v>742</v>
      </c>
      <c r="D93" t="str">
        <f>+Hoja2!C93</f>
        <v>Secretaría de Medio Ambiente</v>
      </c>
      <c r="E93" s="14" t="str">
        <f>+MID(Hoja2!F93,1,2)</f>
        <v>09</v>
      </c>
      <c r="F93" t="str">
        <f>+MID(Hoja2!F93,4,20)</f>
        <v>BUENOS AIRES</v>
      </c>
      <c r="G93" t="str">
        <f>+Hoja2!G93</f>
        <v>Actividad: Esterilizaciones externas  entre perros y gatos.</v>
      </c>
      <c r="H93" t="str">
        <f>+Hoja2!H93</f>
        <v>1 animal atendido</v>
      </c>
    </row>
    <row r="94" spans="1:8" x14ac:dyDescent="0.2">
      <c r="A94">
        <f>+Hoja2!A94</f>
        <v>203023</v>
      </c>
      <c r="B94" s="12" t="str">
        <f>+MID(+Hoja2!B94,1,10)</f>
        <v>18/08/21</v>
      </c>
      <c r="C94">
        <f>+VLOOKUP(D94,DepMaster!$B:$C,2,FALSE)</f>
        <v>742</v>
      </c>
      <c r="D94" t="str">
        <f>+Hoja2!C94</f>
        <v>Secretaría de Medio Ambiente</v>
      </c>
      <c r="E94" s="14" t="str">
        <f>+MID(Hoja2!F94,1,2)</f>
        <v>10</v>
      </c>
      <c r="F94" t="str">
        <f>+MID(Hoja2!F94,4,20)</f>
        <v>LA CANDELARIA</v>
      </c>
      <c r="G94" t="str">
        <f>+Hoja2!G94</f>
        <v>Actividad: Visita con bióloga y veterinario para revisión semanal de condiciones de bienestar de los animales comercializados, se entregaron recomendaciones para mejorar bienestar de los animales.</v>
      </c>
      <c r="H94" t="str">
        <f>+Hoja2!H94</f>
        <v xml:space="preserve">Personas atendidas: 14 propietarios de locales </v>
      </c>
    </row>
    <row r="95" spans="1:8" x14ac:dyDescent="0.2">
      <c r="A95">
        <f>+Hoja2!A95</f>
        <v>203023</v>
      </c>
      <c r="B95" s="12" t="str">
        <f>+MID(+Hoja2!B95,1,10)</f>
        <v>18/08/21</v>
      </c>
      <c r="C95">
        <f>+VLOOKUP(D95,DepMaster!$B:$C,2,FALSE)</f>
        <v>742</v>
      </c>
      <c r="D95" t="str">
        <f>+Hoja2!C95</f>
        <v>Secretaría de Medio Ambiente</v>
      </c>
      <c r="E95" s="14" t="str">
        <f>+MID(Hoja2!F95,1,2)</f>
        <v>11</v>
      </c>
      <c r="F95" t="str">
        <f>+MID(Hoja2!F95,4,20)</f>
        <v>LAURELES</v>
      </c>
      <c r="G95" t="str">
        <f>+Hoja2!G95</f>
        <v>ACTIVIDAD: Presupuesto participativo, Encuentro de elección de consejeros Presupuesto participativo, se asistió a reunión presencial de presupuesto participativo la cual tenía como fin la elección de consejeros. Se obtuvo como resultado, la elección de una dupla.</v>
      </c>
      <c r="H95" t="str">
        <f>+Hoja2!H95</f>
        <v>Personas Atendidas: asistencia de 26 ciudadanos.</v>
      </c>
    </row>
    <row r="96" spans="1:8" x14ac:dyDescent="0.2">
      <c r="A96">
        <f>+Hoja2!A96</f>
        <v>203023</v>
      </c>
      <c r="B96" s="12" t="str">
        <f>+MID(+Hoja2!B96,1,10)</f>
        <v>18/08/21</v>
      </c>
      <c r="C96">
        <f>+VLOOKUP(D96,DepMaster!$B:$C,2,FALSE)</f>
        <v>742</v>
      </c>
      <c r="D96" t="str">
        <f>+Hoja2!C96</f>
        <v>Secretaría de Medio Ambiente</v>
      </c>
      <c r="E96" s="14" t="str">
        <f>+MID(Hoja2!F96,1,2)</f>
        <v>70</v>
      </c>
      <c r="F96" t="str">
        <f>+MID(Hoja2!F96,4,20)</f>
        <v>ALTAVISTA</v>
      </c>
      <c r="G96" t="str">
        <f>+Hoja2!G96</f>
        <v>Actividad: Esterilizaciones externas  entre perros y gatos.</v>
      </c>
      <c r="H96" t="str">
        <f>+Hoja2!H96</f>
        <v xml:space="preserve">6 animales atendidos </v>
      </c>
    </row>
    <row r="97" spans="1:8" x14ac:dyDescent="0.2">
      <c r="A97">
        <f>+Hoja2!A97</f>
        <v>203023</v>
      </c>
      <c r="B97" s="12" t="str">
        <f>+MID(+Hoja2!B97,1,10)</f>
        <v>18/08/21</v>
      </c>
      <c r="C97">
        <f>+VLOOKUP(D97,DepMaster!$B:$C,2,FALSE)</f>
        <v>742</v>
      </c>
      <c r="D97" t="str">
        <f>+Hoja2!C97</f>
        <v>Secretaría de Medio Ambiente</v>
      </c>
      <c r="E97" s="14" t="str">
        <f>+MID(Hoja2!F97,1,2)</f>
        <v>70</v>
      </c>
      <c r="F97" t="str">
        <f>+MID(Hoja2!F97,4,20)</f>
        <v>ALTAVISTA</v>
      </c>
      <c r="G97" t="str">
        <f>+Hoja2!G97</f>
        <v>Actividad: implantación de microchip</v>
      </c>
      <c r="H97" t="str">
        <f>+Hoja2!H97</f>
        <v>animales atendidos: 69</v>
      </c>
    </row>
    <row r="98" spans="1:8" x14ac:dyDescent="0.2">
      <c r="A98">
        <f>+Hoja2!A98</f>
        <v>203023</v>
      </c>
      <c r="B98" s="12" t="str">
        <f>+MID(+Hoja2!B98,1,10)</f>
        <v>18/08/21</v>
      </c>
      <c r="C98">
        <f>+VLOOKUP(D98,DepMaster!$B:$C,2,FALSE)</f>
        <v>761</v>
      </c>
      <c r="D98" t="str">
        <f>+Hoja2!C98</f>
        <v>Departamento Administrativo de Planeación</v>
      </c>
      <c r="E98" s="14" t="str">
        <f>+MID(Hoja2!F98,1,2)</f>
        <v>01</v>
      </c>
      <c r="F98" t="str">
        <f>+MID(Hoja2!F98,4,20)</f>
        <v>POPULAR</v>
      </c>
      <c r="G98" t="str">
        <f>+Hoja2!G98</f>
        <v>Existe Versión 0 del Proyecto de Decreto "Asimilación de la Estratificación".</v>
      </c>
      <c r="H98" t="str">
        <f>+Hoja2!H98</f>
        <v>N/A</v>
      </c>
    </row>
    <row r="99" spans="1:8" x14ac:dyDescent="0.2">
      <c r="A99">
        <f>+Hoja2!A99</f>
        <v>203023</v>
      </c>
      <c r="B99" s="12" t="str">
        <f>+MID(+Hoja2!B99,1,10)</f>
        <v>18/08/21</v>
      </c>
      <c r="C99">
        <f>+VLOOKUP(D99,DepMaster!$B:$C,2,FALSE)</f>
        <v>761</v>
      </c>
      <c r="D99" t="str">
        <f>+Hoja2!C99</f>
        <v>Departamento Administrativo de Planeación</v>
      </c>
      <c r="E99" s="14" t="str">
        <f>+MID(Hoja2!F99,1,2)</f>
        <v>01</v>
      </c>
      <c r="F99" t="str">
        <f>+MID(Hoja2!F99,4,20)</f>
        <v>POPULAR</v>
      </c>
      <c r="G99" t="str">
        <f>+Hoja2!G99</f>
        <v>Existe documento de trabajo sobre la reglamentación de la Plusvalía por Obra Pública y de la PPPMAEP.</v>
      </c>
      <c r="H99" t="str">
        <f>+Hoja2!H99</f>
        <v>N/A</v>
      </c>
    </row>
    <row r="100" spans="1:8" x14ac:dyDescent="0.2">
      <c r="A100">
        <f>+Hoja2!A100</f>
        <v>203023</v>
      </c>
      <c r="B100" s="12" t="str">
        <f>+MID(+Hoja2!B100,1,10)</f>
        <v>18/08/21</v>
      </c>
      <c r="C100">
        <f>+VLOOKUP(D100,DepMaster!$B:$C,2,FALSE)</f>
        <v>761</v>
      </c>
      <c r="D100" t="str">
        <f>+Hoja2!C100</f>
        <v>Departamento Administrativo de Planeación</v>
      </c>
      <c r="E100" s="14" t="str">
        <f>+MID(Hoja2!F100,1,2)</f>
        <v>01</v>
      </c>
      <c r="F100" t="str">
        <f>+MID(Hoja2!F100,4,20)</f>
        <v>POPULAR</v>
      </c>
      <c r="G100" t="str">
        <f>+Hoja2!G100</f>
        <v>Los logros alrededor de los proyectos en los que se viene avanzando en la UPT, por estar relacionados directamente  con los compromiso del POT, a nivel de elaboración de estudios, la revisión,  evaluación y seguimiento del mismo, en general  tienden a impactar a todo el territorio Municipal.</v>
      </c>
      <c r="H100" t="str">
        <f>+Hoja2!H100</f>
        <v>N/A</v>
      </c>
    </row>
    <row r="101" spans="1:8" x14ac:dyDescent="0.2">
      <c r="A101">
        <f>+Hoja2!A101</f>
        <v>203023</v>
      </c>
      <c r="B101" s="12" t="str">
        <f>+MID(+Hoja2!B101,1,10)</f>
        <v>18/08/21</v>
      </c>
      <c r="C101">
        <f>+VLOOKUP(D101,DepMaster!$B:$C,2,FALSE)</f>
        <v>761</v>
      </c>
      <c r="D101" t="str">
        <f>+Hoja2!C101</f>
        <v>Departamento Administrativo de Planeación</v>
      </c>
      <c r="E101" s="14" t="str">
        <f>+MID(Hoja2!F101,1,2)</f>
        <v>01</v>
      </c>
      <c r="F101" t="str">
        <f>+MID(Hoja2!F101,4,20)</f>
        <v>POPULAR</v>
      </c>
      <c r="G101" t="str">
        <f>+Hoja2!G101</f>
        <v>N/A</v>
      </c>
      <c r="H101" t="str">
        <f>+Hoja2!H101</f>
        <v>N/A</v>
      </c>
    </row>
    <row r="102" spans="1:8" x14ac:dyDescent="0.2">
      <c r="A102">
        <f>+Hoja2!A102</f>
        <v>203023</v>
      </c>
      <c r="B102" s="12" t="str">
        <f>+MID(+Hoja2!B102,1,10)</f>
        <v>18/08/21</v>
      </c>
      <c r="C102">
        <f>+VLOOKUP(D102,DepMaster!$B:$C,2,FALSE)</f>
        <v>706</v>
      </c>
      <c r="D102" t="str">
        <f>+Hoja2!C102</f>
        <v>Secretaría de Gestión Humana y Servicio a la Ciudadanía</v>
      </c>
      <c r="E102" s="14" t="str">
        <f>+MID(Hoja2!F102,1,2)</f>
        <v>10</v>
      </c>
      <c r="F102" t="str">
        <f>+MID(Hoja2!F102,4,20)</f>
        <v>LA CANDELARIA</v>
      </c>
      <c r="G102" t="str">
        <f>+Hoja2!G102</f>
        <v>N/A</v>
      </c>
      <c r="H102" t="str">
        <f>+Hoja2!H102</f>
        <v>N/A</v>
      </c>
    </row>
    <row r="103" spans="1:8" x14ac:dyDescent="0.2">
      <c r="A103">
        <f>+Hoja2!A103</f>
        <v>203023</v>
      </c>
      <c r="B103" s="12" t="str">
        <f>+MID(+Hoja2!B103,1,10)</f>
        <v>18/08/21</v>
      </c>
      <c r="C103">
        <f>+VLOOKUP(D103,DepMaster!$B:$C,2,FALSE)</f>
        <v>771</v>
      </c>
      <c r="D103" t="str">
        <f>+Hoja2!C103</f>
        <v>Gerencia del Centro</v>
      </c>
      <c r="E103" s="14" t="str">
        <f>+MID(Hoja2!F103,1,2)</f>
        <v>10</v>
      </c>
      <c r="F103" t="str">
        <f>+MID(Hoja2!F103,4,20)</f>
        <v>LA CANDELARIA</v>
      </c>
      <c r="G103" t="str">
        <f>+Hoja2!G103</f>
        <v>Desarrollo De Brigada Interinstitucional en el Barrio San Benito</v>
      </c>
      <c r="H103" t="str">
        <f>+Hoja2!H103</f>
        <v>Para la brigada del barrio San Benito, contamos con más de 5 dependencias de la alcaldía de Medellín, más de 20 funcionarios llevando oferta institucional. Para esta brigada beneficiamos 100 personas del sector, además realizamos un recorrido junto con la gerente del centro, por los establecimientos comerciales haciendo una campaña de sensibilización de residuos sólidos y escombros.</v>
      </c>
    </row>
    <row r="104" spans="1:8" x14ac:dyDescent="0.2">
      <c r="A104">
        <f>+Hoja2!A104</f>
        <v>203023</v>
      </c>
      <c r="B104" s="12" t="str">
        <f>+MID(+Hoja2!B104,1,10)</f>
        <v>18/08/21</v>
      </c>
      <c r="C104">
        <f>+VLOOKUP(D104,DepMaster!$B:$C,2,FALSE)</f>
        <v>771</v>
      </c>
      <c r="D104" t="str">
        <f>+Hoja2!C104</f>
        <v>Gerencia del Centro</v>
      </c>
      <c r="E104" s="14" t="str">
        <f>+MID(Hoja2!F104,1,2)</f>
        <v>10</v>
      </c>
      <c r="F104" t="str">
        <f>+MID(Hoja2!F104,4,20)</f>
        <v>LA CANDELARIA</v>
      </c>
      <c r="G104" t="str">
        <f>+Hoja2!G104</f>
        <v>Alcance en redes sociales  de la información de la Gerencia</v>
      </c>
      <c r="H104" t="str">
        <f>+Hoja2!H104</f>
        <v>1.	Las publicaciones alcanzaron estas estadísticas en la última semana Número de Publicaciones: 59 Twitter 20.500 impresiones y 746 interacciones. Instagram 3.600 impresiones y 45 acciones Facebook 666 personas alcanzadas y 277 interacciones.</v>
      </c>
    </row>
    <row r="105" spans="1:8" x14ac:dyDescent="0.2">
      <c r="A105">
        <f>+Hoja2!A105</f>
        <v>203023</v>
      </c>
      <c r="B105" s="12" t="str">
        <f>+MID(+Hoja2!B105,1,10)</f>
        <v>18/08/21</v>
      </c>
      <c r="C105">
        <f>+VLOOKUP(D105,DepMaster!$B:$C,2,FALSE)</f>
        <v>753</v>
      </c>
      <c r="D105" t="str">
        <f>+Hoja2!C105</f>
        <v>Gerencia de Corregimientos</v>
      </c>
      <c r="E105" s="14" t="str">
        <f>+MID(Hoja2!F105,1,2)</f>
        <v>90</v>
      </c>
      <c r="F105" t="str">
        <f>+MID(Hoja2!F105,4,20)</f>
        <v>SANTA ELENA</v>
      </c>
      <c r="G105" t="str">
        <f>+Hoja2!G105</f>
        <v xml:space="preserve">Mediante la jornada de atención a la población migrante en la vereda barro blanco corregimiento de Santa Elena donde se llevaron servicios de tamizaje visual, auditivos, riesgo cardiovascular, nutricional entre otros. </v>
      </c>
      <c r="H105" t="str">
        <f>+Hoja2!H105</f>
        <v xml:space="preserve">1. 13 Tamizajes visuales. 
2. 13 Tamizajes Auditivos 
3. 35 Tamizajes de riesgo cardiovascular 
4. 24 Tamizajes nutricionales. 
5. 16 asesorías en aseguramiento en salud.
6. Medicina general 21 Métodos .
7. 18 Sesiones de prevención de violencia basada en género 
8. 25 Orientación ETPV 
</v>
      </c>
    </row>
    <row r="106" spans="1:8" x14ac:dyDescent="0.2">
      <c r="A106">
        <f>+Hoja2!A106</f>
        <v>203023</v>
      </c>
      <c r="B106" s="12" t="str">
        <f>+MID(+Hoja2!B106,1,10)</f>
        <v>18/08/21</v>
      </c>
      <c r="C106">
        <f>+VLOOKUP(D106,DepMaster!$B:$C,2,FALSE)</f>
        <v>753</v>
      </c>
      <c r="D106" t="str">
        <f>+Hoja2!C106</f>
        <v>Gerencia de Corregimientos</v>
      </c>
      <c r="E106" s="14" t="str">
        <f>+MID(Hoja2!F106,1,2)</f>
        <v>90</v>
      </c>
      <c r="F106" t="str">
        <f>+MID(Hoja2!F106,4,20)</f>
        <v>SANTA ELENA</v>
      </c>
      <c r="G106" t="str">
        <f>+Hoja2!G106</f>
        <v xml:space="preserve">Se logró sensibilizar a los habitantes del sector de Barro Blanco, donde se ve una gran problemática de depósitos de basuras en lugares inadecuados. Lo que se ha reflejado en el adecuado acopio de los residuos y esto a permitido el mejoramiento del sector frente a temas paisajitos y salubridad. </v>
      </c>
      <c r="H106" t="str">
        <f>+Hoja2!H106</f>
        <v>20 familias sensibilizadas</v>
      </c>
    </row>
    <row r="107" spans="1:8" x14ac:dyDescent="0.2">
      <c r="A107">
        <f>+Hoja2!A107</f>
        <v>203023</v>
      </c>
      <c r="B107" s="12" t="str">
        <f>+MID(+Hoja2!B107,1,10)</f>
        <v>18/08/21</v>
      </c>
      <c r="C107">
        <f>+VLOOKUP(D107,DepMaster!$B:$C,2,FALSE)</f>
        <v>753</v>
      </c>
      <c r="D107" t="str">
        <f>+Hoja2!C107</f>
        <v>Gerencia de Corregimientos</v>
      </c>
      <c r="E107" s="14" t="str">
        <f>+MID(Hoja2!F107,1,2)</f>
        <v>70</v>
      </c>
      <c r="F107" t="str">
        <f>+MID(Hoja2!F107,4,20)</f>
        <v>ALTAVISTA</v>
      </c>
      <c r="G107" t="str">
        <f>+Hoja2!G107</f>
        <v xml:space="preserve">Campaña biblioteca en tu barrio donde se regalaron más de 150 cuentos en el barrio la Palma del corregimiento de Altavista. 
</v>
      </c>
      <c r="H107">
        <f>+Hoja2!H107</f>
        <v>0</v>
      </c>
    </row>
    <row r="108" spans="1:8" x14ac:dyDescent="0.2">
      <c r="A108">
        <f>+Hoja2!A108</f>
        <v>203023</v>
      </c>
      <c r="B108" s="12" t="str">
        <f>+MID(+Hoja2!B108,1,10)</f>
        <v>18/08/21</v>
      </c>
      <c r="C108">
        <f>+VLOOKUP(D108,DepMaster!$B:$C,2,FALSE)</f>
        <v>724</v>
      </c>
      <c r="D108" t="str">
        <f>+Hoja2!C108</f>
        <v>Secretaría de la Juventud</v>
      </c>
      <c r="E108" s="14" t="str">
        <f>+MID(Hoja2!F108,1,2)</f>
        <v>60</v>
      </c>
      <c r="F108" t="str">
        <f>+MID(Hoja2!F108,4,20)</f>
        <v>SAN CRISTOBAL</v>
      </c>
      <c r="G108" t="str">
        <f>+Hoja2!G108</f>
        <v>Nos encontramos realizando Observatorio en los territorios. Estrategia para dar a conocer a los jóvenes, las estadísticas, investigación y datos en general que desde el observatorio se tienen para su conocimiento, difusión y uso.</v>
      </c>
      <c r="H108" t="str">
        <f>+Hoja2!H108</f>
        <v>Se realizó el 4 de agosto y contamos con la participación de 15 jóvenes.</v>
      </c>
    </row>
    <row r="109" spans="1:8" x14ac:dyDescent="0.2">
      <c r="A109">
        <f>+Hoja2!A109</f>
        <v>203023</v>
      </c>
      <c r="B109" s="12" t="str">
        <f>+MID(+Hoja2!B109,1,10)</f>
        <v>18/08/21</v>
      </c>
      <c r="C109">
        <f>+VLOOKUP(D109,DepMaster!$B:$C,2,FALSE)</f>
        <v>724</v>
      </c>
      <c r="D109" t="str">
        <f>+Hoja2!C109</f>
        <v>Secretaría de la Juventud</v>
      </c>
      <c r="E109" s="14" t="str">
        <f>+MID(Hoja2!F109,1,2)</f>
        <v>06</v>
      </c>
      <c r="F109" t="str">
        <f>+MID(Hoja2!F109,4,20)</f>
        <v>DOCE DE OCTUBRE</v>
      </c>
      <c r="G109" t="str">
        <f>+Hoja2!G109</f>
        <v>El 5 de agosto realizamos Taller Conscientes en la IE Jesús Amigo Intervención jóvenes grado 11° - taller consumo.
Como respuesta a problemática en temas de consumo de los grados décimo y once de la institución educativa, se comenzará con unos talleres semanales enfocados en el tema.</v>
      </c>
      <c r="H109" t="str">
        <f>+Hoja2!H109</f>
        <v>contamos con la participación de 30 jóvenes.</v>
      </c>
    </row>
    <row r="110" spans="1:8" x14ac:dyDescent="0.2">
      <c r="A110">
        <f>+Hoja2!A110</f>
        <v>203023</v>
      </c>
      <c r="B110" s="12" t="str">
        <f>+MID(+Hoja2!B110,1,10)</f>
        <v>18/08/21</v>
      </c>
      <c r="C110">
        <f>+VLOOKUP(D110,DepMaster!$B:$C,2,FALSE)</f>
        <v>724</v>
      </c>
      <c r="D110" t="str">
        <f>+Hoja2!C110</f>
        <v>Secretaría de la Juventud</v>
      </c>
      <c r="E110" s="14" t="str">
        <f>+MID(Hoja2!F110,1,2)</f>
        <v>07</v>
      </c>
      <c r="F110" t="str">
        <f>+MID(Hoja2!F110,4,20)</f>
        <v>ROBLEDO</v>
      </c>
      <c r="G110" t="str">
        <f>+Hoja2!G110</f>
        <v>El 7 de agosto realizamos jornadas de amor para nuestros NNA Cancha - Colegio Progresar. Estrategia para dar a conocer los programas de la secretaria presentación del agente de cuidado en la zona y articular futuras proyecciones.</v>
      </c>
      <c r="H110" t="str">
        <f>+Hoja2!H110</f>
        <v>contamos con la participación de 50 jóvenes.</v>
      </c>
    </row>
    <row r="111" spans="1:8" x14ac:dyDescent="0.2">
      <c r="A111">
        <f>+Hoja2!A111</f>
        <v>203023</v>
      </c>
      <c r="B111" s="12" t="str">
        <f>+MID(+Hoja2!B111,1,10)</f>
        <v>18/08/21</v>
      </c>
      <c r="C111">
        <f>+VLOOKUP(D111,DepMaster!$B:$C,2,FALSE)</f>
        <v>724</v>
      </c>
      <c r="D111" t="str">
        <f>+Hoja2!C111</f>
        <v>Secretaría de la Juventud</v>
      </c>
      <c r="E111" s="14" t="str">
        <f>+MID(Hoja2!F111,1,2)</f>
        <v>70</v>
      </c>
      <c r="F111" t="str">
        <f>+MID(Hoja2!F111,4,20)</f>
        <v>ALTAVISTA</v>
      </c>
      <c r="G111" t="str">
        <f>+Hoja2!G111</f>
        <v>Realizamos un recorrido sobre la 70 para identificar los menores instrumentalizados comercialmente</v>
      </c>
      <c r="H111" t="str">
        <f>+Hoja2!H111</f>
        <v>Contamos con la participación de 10 jóvenes</v>
      </c>
    </row>
    <row r="112" spans="1:8" x14ac:dyDescent="0.2">
      <c r="A112">
        <f>+Hoja2!A112</f>
        <v>203023</v>
      </c>
      <c r="B112" s="12" t="str">
        <f>+MID(+Hoja2!B112,1,10)</f>
        <v>18/08/21</v>
      </c>
      <c r="C112">
        <f>+VLOOKUP(D112,DepMaster!$B:$C,2,FALSE)</f>
        <v>705</v>
      </c>
      <c r="D112" t="str">
        <f>+Hoja2!C112</f>
        <v>Secretaría General</v>
      </c>
      <c r="E112" s="14" t="str">
        <f>+MID(Hoja2!F112,1,2)</f>
        <v>11</v>
      </c>
      <c r="F112" t="str">
        <f>+MID(Hoja2!F112,4,20)</f>
        <v>LAURELES</v>
      </c>
      <c r="G112" t="str">
        <f>+Hoja2!G112</f>
        <v>N/A</v>
      </c>
      <c r="H112" t="str">
        <f>+Hoja2!H112</f>
        <v>N/A</v>
      </c>
    </row>
    <row r="113" spans="1:8" x14ac:dyDescent="0.2">
      <c r="A113">
        <f>+Hoja2!A113</f>
        <v>203023</v>
      </c>
      <c r="B113" s="12" t="str">
        <f>+MID(+Hoja2!B113,1,10)</f>
        <v>18/08/21</v>
      </c>
      <c r="C113">
        <f>+VLOOKUP(D113,DepMaster!$B:$C,2,FALSE)</f>
        <v>743</v>
      </c>
      <c r="D113" t="str">
        <f>+Hoja2!C113</f>
        <v>Secretaría de Movilidad</v>
      </c>
      <c r="E113" s="14" t="str">
        <f>+MID(Hoja2!F113,1,2)</f>
        <v>10</v>
      </c>
      <c r="F113" t="str">
        <f>+MID(Hoja2!F113,4,20)</f>
        <v>LA CANDELARIA</v>
      </c>
      <c r="G113" t="str">
        <f>+Hoja2!G113</f>
        <v xml:space="preserve">Se acompaño el evento de mercados campesinos en articulación son la Secretaría de Cultura y la Secretaría de Desarrollo Económico.
Se logró el relacionamiento con mercados campesinos y la subsecretaria de turismo.
Se están llevando a cabo las estrategias pedagógicas de Transformación Educativa y Cultural con las cuales se ha logrado intervenir un total de 91.378 personas hasta el 8 de agosto de 2021.
Se participó en el evento Cultura Parque el sábado 7 de agosto en el corregimiento de Santa Elena con un sketch Teatral e intervenciones itinerantes de Visión Cero, durante la jornada se sensibilizó un total de 780 personas.
Con la intervención pedagógica en la ZUAP desde enero de 2021 se han intervenido un total de 21.309 personas entre ciudadanos, comerciantes y públicos de interés de la Zona Urbana de Aire protegido.
 Se continúa con los Agentes de Tránsito y en articulación con la policía operativos de control a la informalidad e ilegalidad, de los controles realizados se tienen los siguientes resultados en el periodo 1 de Enero  al 10 de agosto  de 2021:   1526 comparendos y 1353 inmovilizaciones.
Expedición del Decreto 585 de 2021, “por medio del cual se establece la rotación y reglamentación de la medida de pico y placa para los vehículos que prestan el servicio público de transporte terrestre individual de pasajeros – taxis, para el segundo semestre del año 2021”.
Se gestionó solución para realización del proceso de notificación en el proceso de reincidencia.
Expedición de estudio jurídico relacionado con la viabilidad jurídica para que la Secretaría de Movilidad de Medellín solicite al Ministerio de Transporte para que por medio del Registro Único Nacional de Tránsito – RUNT apruebe el registro para que dicte cursos sobre normas de tránsito como lo realizan los Centro Integrales de Atención sin la necesidad de ofrecer los servicios de una casa-cárcel. Este estudio jurídico permite garantizar el cumplimiento al Acuerdo Laboral 59.
Se adelantaron acciones de mejora en los procesos de audiencias por D12,  notificación de comparendos por fotodetección y en unificación de criterios para elaboración de comparendos por abandono. 
</v>
      </c>
      <c r="H113" t="str">
        <f>+Hoja2!H113</f>
        <v>.</v>
      </c>
    </row>
    <row r="114" spans="1:8" x14ac:dyDescent="0.2">
      <c r="A114">
        <f>+Hoja2!A114</f>
        <v>203023</v>
      </c>
      <c r="B114" s="12" t="str">
        <f>+MID(+Hoja2!B114,1,10)</f>
        <v>18/08/21</v>
      </c>
      <c r="C114">
        <f>+VLOOKUP(D114,DepMaster!$B:$C,2,FALSE)</f>
        <v>733</v>
      </c>
      <c r="D114" t="str">
        <f>+Hoja2!C114</f>
        <v>Departamento Administrativo de Gestión del Riesgo de Desastres</v>
      </c>
      <c r="E114" s="14" t="str">
        <f>+MID(Hoja2!F114,1,2)</f>
        <v>90</v>
      </c>
      <c r="F114" t="str">
        <f>+MID(Hoja2!F114,4,20)</f>
        <v>SANTA ELENA</v>
      </c>
      <c r="G114" t="str">
        <f>+Hoja2!G114</f>
        <v>Esta semana se continúa trabajando con la Institución educativa Santa Elena capacitando a más de 60 alumnos en temas de territorio seguro y gestión de riesgo ambiental. Además se tienen programadas reuniones con nuevas instituciones en la comuna 15 y con la mesa ambiental de la misma comuna con el objetivo de generar articulaciones.</v>
      </c>
      <c r="H114" t="str">
        <f>+Hoja2!H114</f>
        <v>Sin dato</v>
      </c>
    </row>
    <row r="115" spans="1:8" x14ac:dyDescent="0.2">
      <c r="A115">
        <f>+Hoja2!A115</f>
        <v>203023</v>
      </c>
      <c r="B115" s="12" t="str">
        <f>+MID(+Hoja2!B115,1,10)</f>
        <v>18/08/21</v>
      </c>
      <c r="C115">
        <f>+VLOOKUP(D115,DepMaster!$B:$C,2,FALSE)</f>
        <v>733</v>
      </c>
      <c r="D115" t="str">
        <f>+Hoja2!C115</f>
        <v>Departamento Administrativo de Gestión del Riesgo de Desastres</v>
      </c>
      <c r="E115" s="14" t="str">
        <f>+MID(Hoja2!F115,1,2)</f>
        <v>16</v>
      </c>
      <c r="F115" t="str">
        <f>+MID(Hoja2!F115,4,20)</f>
        <v>BELEN</v>
      </c>
      <c r="G115" t="str">
        <f>+Hoja2!G115</f>
        <v xml:space="preserve">Jornada intensiva de capacitación a los alumnos de la institución educativa Pedro Amado Herrera en la comuna 16.
</v>
      </c>
      <c r="H115" t="str">
        <f>+Hoja2!H115</f>
        <v>Si dato</v>
      </c>
    </row>
    <row r="116" spans="1:8" x14ac:dyDescent="0.2">
      <c r="A116">
        <f>+Hoja2!A116</f>
        <v>203023</v>
      </c>
      <c r="B116" s="12" t="str">
        <f>+MID(+Hoja2!B116,1,10)</f>
        <v>18/08/21</v>
      </c>
      <c r="C116">
        <f>+VLOOKUP(D116,DepMaster!$B:$C,2,FALSE)</f>
        <v>733</v>
      </c>
      <c r="D116" t="str">
        <f>+Hoja2!C116</f>
        <v>Departamento Administrativo de Gestión del Riesgo de Desastres</v>
      </c>
      <c r="E116" s="14" t="str">
        <f>+MID(Hoja2!F116,1,2)</f>
        <v>14</v>
      </c>
      <c r="F116" t="str">
        <f>+MID(Hoja2!F116,4,20)</f>
        <v>EL POBLADO</v>
      </c>
      <c r="G116" t="str">
        <f>+Hoja2!G116</f>
        <v>Se realizará articulación con el colegio Marymount  y el Euskadi con el fin de replicar el trabajo que se viene realizando en el INEM y en el Colegio La Enseñanza,  en compañía de Secretaria de Juventud y Secretaria de la mujer. En este taller se trabaja la sensibilización en GRD.</v>
      </c>
      <c r="H116" t="str">
        <f>+Hoja2!H116</f>
        <v>Se han sensibilizado hasta el momento en el plan piloto: 
IE INEM: 148 estudiantes
Colegio La enseñanza: 130 estudiantes</v>
      </c>
    </row>
    <row r="117" spans="1:8" x14ac:dyDescent="0.2">
      <c r="A117">
        <f>+Hoja2!A117</f>
        <v>203023</v>
      </c>
      <c r="B117" s="12" t="str">
        <f>+MID(+Hoja2!B117,1,10)</f>
        <v>18/08/21</v>
      </c>
      <c r="C117">
        <f>+VLOOKUP(D117,DepMaster!$B:$C,2,FALSE)</f>
        <v>733</v>
      </c>
      <c r="D117" t="str">
        <f>+Hoja2!C117</f>
        <v>Departamento Administrativo de Gestión del Riesgo de Desastres</v>
      </c>
      <c r="E117" s="14" t="str">
        <f>+MID(Hoja2!F117,1,2)</f>
        <v>01</v>
      </c>
      <c r="F117" t="str">
        <f>+MID(Hoja2!F117,4,20)</f>
        <v>POPULAR</v>
      </c>
      <c r="G117" t="str">
        <f>+Hoja2!G117</f>
        <v>Se realizo recorrido con el gestor de control territorial, Sec de Seguridad y Convivencia, Sec de Salud,con la finalidad de sensibilizar la comunidad en la compra de predios ilegales y al mismo tiempo la posibilidad de ser una zona de alto riesgo; asimismo se les indico la ruta a seguir en caso de una potencial emergencia, teniendo en cuenta uno de los fenómenos amenazantes -movimiento en masa- para esta zona de la ciudad.  Comunas 1 y 3</v>
      </c>
      <c r="H117" t="str">
        <f>+Hoja2!H117</f>
        <v>Sin dato</v>
      </c>
    </row>
    <row r="118" spans="1:8" x14ac:dyDescent="0.2">
      <c r="A118">
        <f>+Hoja2!A118</f>
        <v>203023</v>
      </c>
      <c r="B118" s="12" t="str">
        <f>+MID(+Hoja2!B118,1,10)</f>
        <v>18/08/21</v>
      </c>
      <c r="C118">
        <f>+VLOOKUP(D118,DepMaster!$B:$C,2,FALSE)</f>
        <v>733</v>
      </c>
      <c r="D118" t="str">
        <f>+Hoja2!C118</f>
        <v>Departamento Administrativo de Gestión del Riesgo de Desastres</v>
      </c>
      <c r="E118" s="14" t="str">
        <f>+MID(Hoja2!F118,1,2)</f>
        <v>10</v>
      </c>
      <c r="F118" t="str">
        <f>+MID(Hoja2!F118,4,20)</f>
        <v>LA CANDELARIA</v>
      </c>
      <c r="G118" t="str">
        <f>+Hoja2!G118</f>
        <v>Continuar con el intercambio de experiencias sobre COVID-19 como escenario de riesgo con las empresas, Instituciones públicas y comerciantes pertenecientes a los COSEGRD. Para la próxima semana se tienen programados los COSEGRD de Carabobo Norte, Guayaquil, Guayaquil El Hueco y Alpujarra Comuna 10</v>
      </c>
      <c r="H118" t="str">
        <f>+Hoja2!H118</f>
        <v>Sin dato</v>
      </c>
    </row>
    <row r="119" spans="1:8" x14ac:dyDescent="0.2">
      <c r="A119">
        <f>+Hoja2!A119</f>
        <v>203023</v>
      </c>
      <c r="B119" s="12" t="str">
        <f>+MID(+Hoja2!B119,1,10)</f>
        <v>18/08/21</v>
      </c>
      <c r="C119">
        <f>+VLOOKUP(D119,DepMaster!$B:$C,2,FALSE)</f>
        <v>733</v>
      </c>
      <c r="D119" t="str">
        <f>+Hoja2!C119</f>
        <v>Departamento Administrativo de Gestión del Riesgo de Desastres</v>
      </c>
      <c r="E119" s="14" t="str">
        <f>+MID(Hoja2!F119,1,2)</f>
        <v>05</v>
      </c>
      <c r="F119" t="str">
        <f>+MID(Hoja2!F119,4,20)</f>
        <v>CASTILLA</v>
      </c>
      <c r="G119" t="str">
        <f>+Hoja2!G119</f>
        <v>De forma exitosa se tuvo el primer encuentro con las empresas  ubicadas en el sector de Caribe y que pertenecen al COSEGRD que lleva su mismo nombre, en esta reunión se contó con la participación de Empresas como Coca Cola, Fiscalía, Carnes Casa Blanca, Colanta, AFC Colanta, Sapiensa, Metro de Medellín , Terminal de Transporte Norte, IDJ SAS, entre otras. La intención fue la de realizar un intercambio de experiencias a  partir de todo lo que las empresas han debido adaptar a partir del escenario de riesgo de COVID-19 que ha significado tanto en las empresas. adicionalmente en este espacio, también se compartió la experiencia positiva del DAGRD frente a COVID-19.</v>
      </c>
      <c r="H119" t="str">
        <f>+Hoja2!H119</f>
        <v>Sin dato</v>
      </c>
    </row>
    <row r="120" spans="1:8" x14ac:dyDescent="0.2">
      <c r="A120">
        <f>+Hoja2!A120</f>
        <v>203023</v>
      </c>
      <c r="B120" s="12" t="str">
        <f>+MID(+Hoja2!B120,1,10)</f>
        <v>18/08/21</v>
      </c>
      <c r="C120">
        <f>+VLOOKUP(D120,DepMaster!$B:$C,2,FALSE)</f>
        <v>733</v>
      </c>
      <c r="D120" t="str">
        <f>+Hoja2!C120</f>
        <v>Departamento Administrativo de Gestión del Riesgo de Desastres</v>
      </c>
      <c r="E120" s="14" t="str">
        <f>+MID(Hoja2!F120,1,2)</f>
        <v>14</v>
      </c>
      <c r="F120" t="str">
        <f>+MID(Hoja2!F120,4,20)</f>
        <v>EL POBLADO</v>
      </c>
      <c r="G120" t="str">
        <f>+Hoja2!G120</f>
        <v xml:space="preserve">Se desarrollará el día 10 de agosto con los COSEGRD de Barrio Colombia y Ciudad del Río, el intercambio de experiencias a  partir de todo lo que las empresas han debido adaptar a partir del escenario de riesgo de COVID-19 que ha significado tanto en las empresas y su continuidad del negocio. Comuna 14
</v>
      </c>
      <c r="H120" t="str">
        <f>+Hoja2!H120</f>
        <v>Sin dato</v>
      </c>
    </row>
    <row r="121" spans="1:8" x14ac:dyDescent="0.2">
      <c r="A121">
        <f>+Hoja2!A121</f>
        <v>203023</v>
      </c>
      <c r="B121" s="12" t="str">
        <f>+MID(+Hoja2!B121,1,10)</f>
        <v>18/08/21</v>
      </c>
      <c r="C121">
        <f>+VLOOKUP(D121,DepMaster!$B:$C,2,FALSE)</f>
        <v>733</v>
      </c>
      <c r="D121" t="str">
        <f>+Hoja2!C121</f>
        <v>Departamento Administrativo de Gestión del Riesgo de Desastres</v>
      </c>
      <c r="E121" s="14" t="str">
        <f>+MID(Hoja2!F121,1,2)</f>
        <v>15</v>
      </c>
      <c r="F121" t="str">
        <f>+MID(Hoja2!F121,4,20)</f>
        <v>GUAYABAL</v>
      </c>
      <c r="G121" t="str">
        <f>+Hoja2!G121</f>
        <v xml:space="preserve">Se desarrollará el día 11 de agosto con los COSEGRD de Guayabal 1 y 2, el intercambio de experiencias a  partir de todo lo que las empresas han debido adaptar a partir del escenario de riesgo de COVID-19 que ha significado tanto en las empresas y su continuidad del negocio. Comuna 15 Guayabal
</v>
      </c>
      <c r="H121" t="str">
        <f>+Hoja2!H121</f>
        <v>Sin dato</v>
      </c>
    </row>
    <row r="122" spans="1:8" x14ac:dyDescent="0.2">
      <c r="A122">
        <f>+Hoja2!A122</f>
        <v>203023</v>
      </c>
      <c r="B122" s="12" t="str">
        <f>+MID(+Hoja2!B122,1,10)</f>
        <v>18/08/21</v>
      </c>
      <c r="C122">
        <f>+VLOOKUP(D122,DepMaster!$B:$C,2,FALSE)</f>
        <v>733</v>
      </c>
      <c r="D122" t="str">
        <f>+Hoja2!C122</f>
        <v>Departamento Administrativo de Gestión del Riesgo de Desastres</v>
      </c>
      <c r="E122" s="14" t="str">
        <f>+MID(Hoja2!F122,1,2)</f>
        <v>16</v>
      </c>
      <c r="F122" t="str">
        <f>+MID(Hoja2!F122,4,20)</f>
        <v>BELEN</v>
      </c>
      <c r="G122" t="str">
        <f>+Hoja2!G122</f>
        <v xml:space="preserve">Se continúa con el acompañamiento a los residentes  del Conjunto Residencial Atavanza en  la elaboración del Plan de Prevención, Preparación y Respuesta a Emergencias, vale la pena recordar que fueron afectados por un movimiento en masa el 24 de marzo de 2021, la respuesta es cada vez mejor, ellos mismos desarrollan los componentes del documento, se fijan responsabilidades y se observa un compromiso creciente con relación a este instrumento que propiciará un mejor entorno seguro. Comuna 16 Belén
</v>
      </c>
      <c r="H122" t="str">
        <f>+Hoja2!H122</f>
        <v>Sin dato</v>
      </c>
    </row>
    <row r="123" spans="1:8" x14ac:dyDescent="0.2">
      <c r="A123">
        <f>+Hoja2!A123</f>
        <v>203023</v>
      </c>
      <c r="B123" s="12" t="str">
        <f>+MID(+Hoja2!B123,1,10)</f>
        <v>18/08/21</v>
      </c>
      <c r="C123">
        <f>+VLOOKUP(D123,DepMaster!$B:$C,2,FALSE)</f>
        <v>733</v>
      </c>
      <c r="D123" t="str">
        <f>+Hoja2!C123</f>
        <v>Departamento Administrativo de Gestión del Riesgo de Desastres</v>
      </c>
      <c r="E123" s="14" t="str">
        <f>+MID(Hoja2!F123,1,2)</f>
        <v>05</v>
      </c>
      <c r="F123" t="str">
        <f>+MID(Hoja2!F123,4,20)</f>
        <v>CASTILLA</v>
      </c>
      <c r="G123" t="str">
        <f>+Hoja2!G123</f>
        <v xml:space="preserve">Se continua con el proceso de acompañamiento a la IE El Rosal de Castilla apoyando a la gestora de la comuna Lia Sierra. Se inició con capacitación a 50 estudiantes y se continuará con orientación en la actualización del plan escolar de gestión de riesgo a 12 docentes. Posteriormente se continuara el proceso formativo con otros grupos y grados de estudiantes.  Comuna 5 Castilla
</v>
      </c>
      <c r="H123" t="str">
        <f>+Hoja2!H123</f>
        <v>capacitación a 50 estudiantes y se continuará con orientación en la actualización del plan escolar de gestión de riesgo a 12 docentes</v>
      </c>
    </row>
    <row r="124" spans="1:8" x14ac:dyDescent="0.2">
      <c r="A124">
        <f>+Hoja2!A124</f>
        <v>203023</v>
      </c>
      <c r="B124" s="12" t="str">
        <f>+MID(+Hoja2!B124,1,10)</f>
        <v>18/08/21</v>
      </c>
      <c r="C124">
        <f>+VLOOKUP(D124,DepMaster!$B:$C,2,FALSE)</f>
        <v>733</v>
      </c>
      <c r="D124" t="str">
        <f>+Hoja2!C124</f>
        <v>Departamento Administrativo de Gestión del Riesgo de Desastres</v>
      </c>
      <c r="E124" s="14" t="str">
        <f>+MID(Hoja2!F124,1,2)</f>
        <v>07</v>
      </c>
      <c r="F124" t="str">
        <f>+MID(Hoja2!F124,4,20)</f>
        <v>ROBLEDO</v>
      </c>
      <c r="G124" t="str">
        <f>+Hoja2!G124</f>
        <v xml:space="preserve">Desde el año anterior se realiza de manera sostenida y en proceso, el acompañamiento a instituciones Educativas en el tema de gestión de riesgo en la escuela. Se ha trabajado con instituciones educativas oficiales y con instituciones que atienden la primera infancia. Particularmente se ha trabajado con la IE San Vicente con formación a aproximadamente 250 estudiantes. IE Alfonso Upegui con formación a 100 estudiantes. En Jardines infantiles se acompaña a El Laguito con 15 agentes educativas formadas. Comuna 7
</v>
      </c>
      <c r="H124" t="str">
        <f>+Hoja2!H124</f>
        <v>formación a aproximadamente 250 estudiantes. IE Alfonso Upegui con formación a 100 estudiantes. En Jardines infantiles se acompaña a El Laguito con 15 agentes educativas formadas</v>
      </c>
    </row>
    <row r="125" spans="1:8" x14ac:dyDescent="0.2">
      <c r="A125">
        <f>+Hoja2!A125</f>
        <v>203023</v>
      </c>
      <c r="B125" s="12" t="str">
        <f>+MID(+Hoja2!B125,1,10)</f>
        <v>18/08/21</v>
      </c>
      <c r="C125">
        <f>+VLOOKUP(D125,DepMaster!$B:$C,2,FALSE)</f>
        <v>733</v>
      </c>
      <c r="D125" t="str">
        <f>+Hoja2!C125</f>
        <v>Departamento Administrativo de Gestión del Riesgo de Desastres</v>
      </c>
      <c r="E125" s="14" t="str">
        <f>+MID(Hoja2!F125,1,2)</f>
        <v>60</v>
      </c>
      <c r="F125" t="str">
        <f>+MID(Hoja2!F125,4,20)</f>
        <v>SAN CRISTOBAL</v>
      </c>
      <c r="G125" t="str">
        <f>+Hoja2!G125</f>
        <v xml:space="preserve">Se acompaña el comité comunitario de Palenque y Santa Margarita para organizar su capacidad de apoyo a al respuesta. Esta vez se realizo, en articulación con el COBM una capacitación en camillaje, que mas que la capacitación, buscaba el articular comités de la zona. Participaron 12 voluntarios, incluido los de comité comunitario La Montaña de San Cristóbal. 
</v>
      </c>
      <c r="H125" t="str">
        <f>+Hoja2!H125</f>
        <v>Participación de 12 voluntarios</v>
      </c>
    </row>
    <row r="126" spans="1:8" x14ac:dyDescent="0.2">
      <c r="A126">
        <f>+Hoja2!A126</f>
        <v>203023</v>
      </c>
      <c r="B126" s="12" t="str">
        <f>+MID(+Hoja2!B126,1,10)</f>
        <v>18/08/21</v>
      </c>
      <c r="C126">
        <f>+VLOOKUP(D126,DepMaster!$B:$C,2,FALSE)</f>
        <v>733</v>
      </c>
      <c r="D126" t="str">
        <f>+Hoja2!C126</f>
        <v>Departamento Administrativo de Gestión del Riesgo de Desastres</v>
      </c>
      <c r="E126" s="14" t="str">
        <f>+MID(Hoja2!F126,1,2)</f>
        <v>08</v>
      </c>
      <c r="F126" t="str">
        <f>+MID(Hoja2!F126,4,20)</f>
        <v>VILLA HERMOSA</v>
      </c>
      <c r="G126" t="str">
        <f>+Hoja2!G126</f>
        <v xml:space="preserve">Se acompaña el diseño participativo del plan de evacuación comunitario en el sector Pacifico en cuya preparación esta la JAC y favorecerá a 350 familias del sector. Ya se avanzó en la identificación de riesgos, la división sectorial del territorio, la definición de rutas de evacuación y se esta en la articulación intersectorial. En perspectiva, se realizará un simulacro de evacuación en articulación entre comunidad e instituciones del municipio.  Comuna 8
</v>
      </c>
      <c r="H126" t="str">
        <f>+Hoja2!H126</f>
        <v>favorecerá a 350 familias del sector</v>
      </c>
    </row>
    <row r="127" spans="1:8" x14ac:dyDescent="0.2">
      <c r="A127">
        <f>+Hoja2!A127</f>
        <v>203023</v>
      </c>
      <c r="B127" s="12" t="str">
        <f>+MID(+Hoja2!B127,1,10)</f>
        <v>18/08/21</v>
      </c>
      <c r="C127">
        <f>+VLOOKUP(D127,DepMaster!$B:$C,2,FALSE)</f>
        <v>733</v>
      </c>
      <c r="D127" t="str">
        <f>+Hoja2!C127</f>
        <v>Departamento Administrativo de Gestión del Riesgo de Desastres</v>
      </c>
      <c r="E127" s="14" t="str">
        <f>+MID(Hoja2!F127,1,2)</f>
        <v>16</v>
      </c>
      <c r="F127" t="str">
        <f>+MID(Hoja2!F127,4,20)</f>
        <v>BELEN</v>
      </c>
      <c r="G127" t="str">
        <f>+Hoja2!G127</f>
        <v xml:space="preserve">Se continua proceso de formación dirigida a estudiantes y docentes en la IE San Juan Bosco con participación de 20 estudiantes. Comuna 16
</v>
      </c>
      <c r="H127" t="str">
        <f>+Hoja2!H127</f>
        <v>Participación de 20 estudiantes</v>
      </c>
    </row>
    <row r="128" spans="1:8" x14ac:dyDescent="0.2">
      <c r="A128">
        <f>+Hoja2!A128</f>
        <v>203023</v>
      </c>
      <c r="B128" s="12" t="str">
        <f>+MID(+Hoja2!B128,1,10)</f>
        <v>18/08/21</v>
      </c>
      <c r="C128">
        <f>+VLOOKUP(D128,DepMaster!$B:$C,2,FALSE)</f>
        <v>733</v>
      </c>
      <c r="D128" t="str">
        <f>+Hoja2!C128</f>
        <v>Departamento Administrativo de Gestión del Riesgo de Desastres</v>
      </c>
      <c r="E128" s="14" t="str">
        <f>+MID(Hoja2!F128,1,2)</f>
        <v>50</v>
      </c>
      <c r="F128" t="str">
        <f>+MID(Hoja2!F128,4,20)</f>
        <v>PALMITAS</v>
      </c>
      <c r="G128" t="str">
        <f>+Hoja2!G128</f>
        <v xml:space="preserve">Realización de talleres en el colegio Héctor Rogelio de comuna 50, con 350 niños, niñas y adolescente              Participar en la mesa interinstitucional  de la comuna 80 en la cual se tratara el tema de la planeación de jornadas de oferta y articulaciones interinstitucionales. Comuna 50
</v>
      </c>
      <c r="H128" t="str">
        <f>+Hoja2!H128</f>
        <v>Se logra alcanzar a 350 niños, niñas y adolescente</v>
      </c>
    </row>
    <row r="129" spans="1:8" x14ac:dyDescent="0.2">
      <c r="A129">
        <f>+Hoja2!A129</f>
        <v>203023</v>
      </c>
      <c r="B129" s="12" t="str">
        <f>+MID(+Hoja2!B129,1,10)</f>
        <v>18/08/21</v>
      </c>
      <c r="C129">
        <f>+VLOOKUP(D129,DepMaster!$B:$C,2,FALSE)</f>
        <v>714</v>
      </c>
      <c r="D129" t="str">
        <f>+Hoja2!C129</f>
        <v>Buen Comienzo</v>
      </c>
      <c r="E129" s="14" t="str">
        <f>+MID(Hoja2!F129,1,2)</f>
        <v>01</v>
      </c>
      <c r="F129" t="str">
        <f>+MID(Hoja2!F129,4,20)</f>
        <v>POPULAR</v>
      </c>
      <c r="G129" t="str">
        <f>+Hoja2!G129</f>
        <v xml:space="preserve">Buen Comienzo inició la vacunación del refuerzo del rubeola y sarampión a todos los niños y niñas de las diferentes sedes. </v>
      </c>
      <c r="H129" t="str">
        <f>+Hoja2!H129</f>
        <v>Impactará en gran manera el bienestar de 46.565 niños y niñas, en todas las comunas.</v>
      </c>
    </row>
    <row r="130" spans="1:8" x14ac:dyDescent="0.2">
      <c r="A130">
        <f>+Hoja2!A130</f>
        <v>203023</v>
      </c>
      <c r="B130" s="12" t="str">
        <f>+MID(+Hoja2!B130,1,10)</f>
        <v>18/08/21</v>
      </c>
      <c r="C130">
        <f>+VLOOKUP(D130,DepMaster!$B:$C,2,FALSE)</f>
        <v>714</v>
      </c>
      <c r="D130" t="str">
        <f>+Hoja2!C130</f>
        <v>Buen Comienzo</v>
      </c>
      <c r="E130" s="14" t="str">
        <f>+MID(Hoja2!F130,1,2)</f>
        <v>01</v>
      </c>
      <c r="F130" t="str">
        <f>+MID(Hoja2!F130,4,20)</f>
        <v>POPULAR</v>
      </c>
      <c r="G130" t="str">
        <f>+Hoja2!G130</f>
        <v>Acercamientos con todos los operadores de Buen Comienzo por medio del espacio presencial, “Una hora con el Director” .</v>
      </c>
      <c r="H130" t="str">
        <f>+Hoja2!H130</f>
        <v>Se atendieron los 38 operadores, que representan todas las comunas.</v>
      </c>
    </row>
    <row r="131" spans="1:8" x14ac:dyDescent="0.2">
      <c r="A131">
        <f>+Hoja2!A131</f>
        <v>203023</v>
      </c>
      <c r="B131" s="12" t="str">
        <f>+MID(+Hoja2!B131,1,10)</f>
        <v>18/08/21</v>
      </c>
      <c r="C131">
        <f>+VLOOKUP(D131,DepMaster!$B:$C,2,FALSE)</f>
        <v>714</v>
      </c>
      <c r="D131" t="str">
        <f>+Hoja2!C131</f>
        <v>Buen Comienzo</v>
      </c>
      <c r="E131" s="14" t="str">
        <f>+MID(Hoja2!F131,1,2)</f>
        <v>01</v>
      </c>
      <c r="F131" t="str">
        <f>+MID(Hoja2!F131,4,20)</f>
        <v>POPULAR</v>
      </c>
      <c r="G131" t="str">
        <f>+Hoja2!G131</f>
        <v>Sensibilización de todo el talento humano de la Unidad.</v>
      </c>
      <c r="H131" t="str">
        <f>+Hoja2!H131</f>
        <v>Asistieron aproximadamente 65 personas, incluyendo lideres, vinculados y contratistas.</v>
      </c>
    </row>
    <row r="132" spans="1:8" x14ac:dyDescent="0.2">
      <c r="A132">
        <f>+Hoja2!A132</f>
        <v>203023</v>
      </c>
      <c r="B132" s="12" t="str">
        <f>+MID(+Hoja2!B132,1,10)</f>
        <v>18/08/21</v>
      </c>
      <c r="C132">
        <f>+VLOOKUP(D132,DepMaster!$B:$C,2,FALSE)</f>
        <v>714</v>
      </c>
      <c r="D132" t="str">
        <f>+Hoja2!C132</f>
        <v>Buen Comienzo</v>
      </c>
      <c r="E132" s="14" t="str">
        <f>+MID(Hoja2!F132,1,2)</f>
        <v>02</v>
      </c>
      <c r="F132" t="str">
        <f>+MID(Hoja2!F132,4,20)</f>
        <v>SANTA CRUZ</v>
      </c>
      <c r="G132" t="str">
        <f>+Hoja2!G132</f>
        <v>Acercamiento de los padres de familia Santa Cruz.</v>
      </c>
      <c r="H132" t="str">
        <f>+Hoja2!H132</f>
        <v>Correspondientes a los 75 niños y niñas de la sede.</v>
      </c>
    </row>
  </sheetData>
  <autoFilter ref="A1:H132" xr:uid="{00000000-0001-0000-02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C26"/>
  <sheetViews>
    <sheetView workbookViewId="0">
      <selection activeCell="F25" sqref="F25"/>
    </sheetView>
  </sheetViews>
  <sheetFormatPr baseColWidth="10" defaultRowHeight="15" x14ac:dyDescent="0.2"/>
  <cols>
    <col min="2" max="2" width="55.1640625" bestFit="1" customWidth="1"/>
  </cols>
  <sheetData>
    <row r="1" spans="2:3" x14ac:dyDescent="0.2">
      <c r="B1" t="s">
        <v>148</v>
      </c>
      <c r="C1" t="s">
        <v>153</v>
      </c>
    </row>
    <row r="2" spans="2:3" x14ac:dyDescent="0.2">
      <c r="B2" t="s">
        <v>73</v>
      </c>
      <c r="C2">
        <v>761</v>
      </c>
    </row>
    <row r="3" spans="2:3" x14ac:dyDescent="0.2">
      <c r="B3" t="s">
        <v>68</v>
      </c>
      <c r="C3">
        <v>956</v>
      </c>
    </row>
    <row r="4" spans="2:3" x14ac:dyDescent="0.2">
      <c r="B4" t="s">
        <v>77</v>
      </c>
      <c r="C4">
        <v>723</v>
      </c>
    </row>
    <row r="5" spans="2:3" x14ac:dyDescent="0.2">
      <c r="B5" t="s">
        <v>81</v>
      </c>
      <c r="C5">
        <v>751</v>
      </c>
    </row>
    <row r="6" spans="2:3" x14ac:dyDescent="0.2">
      <c r="B6" t="s">
        <v>91</v>
      </c>
      <c r="C6">
        <v>762</v>
      </c>
    </row>
    <row r="7" spans="2:3" x14ac:dyDescent="0.2">
      <c r="B7" t="s">
        <v>96</v>
      </c>
      <c r="C7">
        <v>742</v>
      </c>
    </row>
    <row r="8" spans="2:3" x14ac:dyDescent="0.2">
      <c r="B8" t="s">
        <v>103</v>
      </c>
      <c r="C8">
        <v>705</v>
      </c>
    </row>
    <row r="9" spans="2:3" x14ac:dyDescent="0.2">
      <c r="B9" t="s">
        <v>104</v>
      </c>
      <c r="C9">
        <v>703</v>
      </c>
    </row>
    <row r="10" spans="2:3" x14ac:dyDescent="0.2">
      <c r="B10" t="s">
        <v>107</v>
      </c>
      <c r="C10">
        <v>732</v>
      </c>
    </row>
    <row r="11" spans="2:3" x14ac:dyDescent="0.2">
      <c r="B11" t="s">
        <v>113</v>
      </c>
      <c r="C11">
        <v>724</v>
      </c>
    </row>
    <row r="12" spans="2:3" x14ac:dyDescent="0.2">
      <c r="B12" t="s">
        <v>115</v>
      </c>
      <c r="C12">
        <v>771</v>
      </c>
    </row>
    <row r="13" spans="2:3" x14ac:dyDescent="0.2">
      <c r="B13" t="s">
        <v>121</v>
      </c>
      <c r="C13">
        <v>711</v>
      </c>
    </row>
    <row r="14" spans="2:3" x14ac:dyDescent="0.2">
      <c r="B14" t="s">
        <v>122</v>
      </c>
      <c r="C14">
        <v>706</v>
      </c>
    </row>
    <row r="15" spans="2:3" x14ac:dyDescent="0.2">
      <c r="B15" t="s">
        <v>123</v>
      </c>
      <c r="C15">
        <v>714</v>
      </c>
    </row>
    <row r="16" spans="2:3" x14ac:dyDescent="0.2">
      <c r="B16" t="s">
        <v>124</v>
      </c>
      <c r="C16">
        <v>752</v>
      </c>
    </row>
    <row r="17" spans="2:3" x14ac:dyDescent="0.2">
      <c r="B17" t="s">
        <v>126</v>
      </c>
      <c r="C17">
        <v>722</v>
      </c>
    </row>
    <row r="18" spans="2:3" x14ac:dyDescent="0.2">
      <c r="B18" t="s">
        <v>127</v>
      </c>
      <c r="C18">
        <v>753</v>
      </c>
    </row>
    <row r="19" spans="2:3" x14ac:dyDescent="0.2">
      <c r="B19" t="s">
        <v>130</v>
      </c>
      <c r="C19">
        <v>713</v>
      </c>
    </row>
    <row r="20" spans="2:3" x14ac:dyDescent="0.2">
      <c r="B20" t="s">
        <v>118</v>
      </c>
      <c r="C20">
        <v>954</v>
      </c>
    </row>
    <row r="21" spans="2:3" x14ac:dyDescent="0.2">
      <c r="B21" t="s">
        <v>132</v>
      </c>
      <c r="C21">
        <v>741</v>
      </c>
    </row>
    <row r="22" spans="2:3" x14ac:dyDescent="0.2">
      <c r="B22" t="s">
        <v>133</v>
      </c>
      <c r="C22">
        <v>743</v>
      </c>
    </row>
    <row r="23" spans="2:3" x14ac:dyDescent="0.2">
      <c r="B23" t="s">
        <v>137</v>
      </c>
      <c r="C23">
        <v>721</v>
      </c>
    </row>
    <row r="24" spans="2:3" x14ac:dyDescent="0.2">
      <c r="B24" t="s">
        <v>139</v>
      </c>
      <c r="C24">
        <v>733</v>
      </c>
    </row>
    <row r="25" spans="2:3" x14ac:dyDescent="0.2">
      <c r="B25" t="s">
        <v>142</v>
      </c>
      <c r="C25">
        <v>712</v>
      </c>
    </row>
    <row r="26" spans="2:3" x14ac:dyDescent="0.2">
      <c r="B26" t="s">
        <v>143</v>
      </c>
      <c r="C26">
        <v>707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Hoja1</vt:lpstr>
      <vt:lpstr>Hoja2</vt:lpstr>
      <vt:lpstr>Hoja3</vt:lpstr>
      <vt:lpstr>DepMaster</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Vanessa Gonzalez Londoño</dc:creator>
  <cp:lastModifiedBy>Microsoft Office User</cp:lastModifiedBy>
  <dcterms:created xsi:type="dcterms:W3CDTF">2021-08-04T14:47:36Z</dcterms:created>
  <dcterms:modified xsi:type="dcterms:W3CDTF">2021-08-18T21:41:21Z</dcterms:modified>
</cp:coreProperties>
</file>